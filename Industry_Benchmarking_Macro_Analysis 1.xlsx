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6DC97F06-4338-4BC3-9988-E76F4DBCE5E6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Cover" sheetId="1" r:id="rId1"/>
    <sheet name="Raw Data" sheetId="2" r:id="rId2"/>
    <sheet name="Ratio Dashboard" sheetId="3" r:id="rId3"/>
    <sheet name="Peer Benchmarking" sheetId="4" r:id="rId4"/>
    <sheet name="Yield Curve" sheetId="5" r:id="rId5"/>
    <sheet name="Charts" sheetId="6" r:id="rId6"/>
  </sheets>
  <definedNames>
    <definedName name="_xlnm.Print_Titles" localSheetId="5">Charts!$1:$2</definedName>
    <definedName name="_xlnm.Print_Titles" localSheetId="0">Cover!$1:$2</definedName>
    <definedName name="_xlnm.Print_Titles" localSheetId="3">'Peer Benchmarking'!$1:$2</definedName>
    <definedName name="_xlnm.Print_Titles" localSheetId="2">'Ratio Dashboard'!$1:$2</definedName>
    <definedName name="_xlnm.Print_Titles" localSheetId="1">'Raw Data'!$1:$2</definedName>
    <definedName name="_xlnm.Print_Titles" localSheetId="4">'Yield Curve'!$1:$2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<sst xmlns="http://schemas.openxmlformats.org/spreadsheetml/2006/main" count="291" uniqueCount="195">
  <si>
    <t>INDUSTRY BENCHMARKING &amp; MACROECONOMIC ANALYSIS</t>
  </si>
  <si>
    <t>Retail &amp; Manufacturing Sector | India Focus</t>
  </si>
  <si>
    <t>PROJECT OVERVIEW</t>
  </si>
  <si>
    <t>Scope</t>
  </si>
  <si>
    <t>3 Public Companies | Retail &amp; Manufacturing</t>
  </si>
  <si>
    <t>Ratios Covered</t>
  </si>
  <si>
    <t>15+ across Liquidity, Leverage &amp; Profitability</t>
  </si>
  <si>
    <t>Macro Coverage</t>
  </si>
  <si>
    <t>Yield Curve Dynamics – India, Pakistan, Japan</t>
  </si>
  <si>
    <t>Data Period</t>
  </si>
  <si>
    <t>FY2022 – FY2024</t>
  </si>
  <si>
    <t>Prepared By</t>
  </si>
  <si>
    <t>Financial Analysis Division</t>
  </si>
  <si>
    <t>Date</t>
  </si>
  <si>
    <t>May 2026</t>
  </si>
  <si>
    <t>TABLE OF CONTENTS</t>
  </si>
  <si>
    <t xml:space="preserve">  1.  Raw Data</t>
  </si>
  <si>
    <t>Company financials input data</t>
  </si>
  <si>
    <t xml:space="preserve">  2.  Ratio Dashboard</t>
  </si>
  <si>
    <t>15 financial ratios – all three companies</t>
  </si>
  <si>
    <t xml:space="preserve">  3.  Peer Benchmarking</t>
  </si>
  <si>
    <t>Comparative analysis &amp; scoring</t>
  </si>
  <si>
    <t xml:space="preserve">  4.  Yield Curve</t>
  </si>
  <si>
    <t>India / Pakistan / Japan macro analysis</t>
  </si>
  <si>
    <t xml:space="preserve">  5.  Charts</t>
  </si>
  <si>
    <t>Visual summaries &amp; radar chart</t>
  </si>
  <si>
    <t>COLOR CODE LEGEND</t>
  </si>
  <si>
    <t xml:space="preserve">  ██  Blue text</t>
  </si>
  <si>
    <t>Hard-coded inputs (user may change)</t>
  </si>
  <si>
    <t xml:space="preserve">  ██  Black text</t>
  </si>
  <si>
    <t>Formula-driven calculated values</t>
  </si>
  <si>
    <t xml:space="preserve">  ██  Green text</t>
  </si>
  <si>
    <t>Cross-sheet formula references</t>
  </si>
  <si>
    <t xml:space="preserve">  ██  Red text</t>
  </si>
  <si>
    <t>External / macro input values</t>
  </si>
  <si>
    <t>RAW FINANCIAL DATA – INPUT SHEET</t>
  </si>
  <si>
    <t>Source: Annual Reports FY2022–FY2024  |  ₹ Crores</t>
  </si>
  <si>
    <t>MONTE CARLO FASHIONS</t>
  </si>
  <si>
    <t>TRENT LIMITED</t>
  </si>
  <si>
    <t>TITAN COMPANY</t>
  </si>
  <si>
    <t>Line Item</t>
  </si>
  <si>
    <t>FY2022</t>
  </si>
  <si>
    <t>FY2023</t>
  </si>
  <si>
    <t>FY2024</t>
  </si>
  <si>
    <t>INCOME STATEMENT</t>
  </si>
  <si>
    <t>Revenue</t>
  </si>
  <si>
    <t>Cost of Goods Sold</t>
  </si>
  <si>
    <t>Gross Profit</t>
  </si>
  <si>
    <t>EBITDA</t>
  </si>
  <si>
    <t>Depreciation</t>
  </si>
  <si>
    <t>EBIT</t>
  </si>
  <si>
    <t>Interest Expense</t>
  </si>
  <si>
    <t>PBT</t>
  </si>
  <si>
    <t>Tax</t>
  </si>
  <si>
    <t>PAT</t>
  </si>
  <si>
    <t>BALANCE SHEET</t>
  </si>
  <si>
    <t>Current Assets</t>
  </si>
  <si>
    <t>Total Assets</t>
  </si>
  <si>
    <t>Current Liabilities</t>
  </si>
  <si>
    <t>Total Debt</t>
  </si>
  <si>
    <t>Total Liabilities</t>
  </si>
  <si>
    <t>Shareholders Equity</t>
  </si>
  <si>
    <t>Inventory</t>
  </si>
  <si>
    <t>Accounts Receivable</t>
  </si>
  <si>
    <t>Cash &amp; Equivalents</t>
  </si>
  <si>
    <t>CASH FLOW</t>
  </si>
  <si>
    <t>Operating CF</t>
  </si>
  <si>
    <t>Capex</t>
  </si>
  <si>
    <t>Free Cash Flow</t>
  </si>
  <si>
    <t>FINANCIAL RATIO DASHBOARD – 15 KEY RATIOS</t>
  </si>
  <si>
    <t>All ratios computed from Raw Data sheet  |  FY2022 – FY2024</t>
  </si>
  <si>
    <t>MONTE CARLO</t>
  </si>
  <si>
    <t>TRENT</t>
  </si>
  <si>
    <t>TITAN</t>
  </si>
  <si>
    <t>Ratio / Metric</t>
  </si>
  <si>
    <t>FY22</t>
  </si>
  <si>
    <t>FY23</t>
  </si>
  <si>
    <t>FY24</t>
  </si>
  <si>
    <t>Interpretation</t>
  </si>
  <si>
    <t>LIQUIDITY RATIOS</t>
  </si>
  <si>
    <t>Current Ratio</t>
  </si>
  <si>
    <t>&gt;2 = Strong | 1–2 = Adequate | &lt;1 = Risk</t>
  </si>
  <si>
    <t>Quick Ratio</t>
  </si>
  <si>
    <t>&gt;1 preferred; excludes inventory</t>
  </si>
  <si>
    <t>Cash Ratio</t>
  </si>
  <si>
    <t>Strictest liquidity measure</t>
  </si>
  <si>
    <t>LEVERAGE RATIOS</t>
  </si>
  <si>
    <t>Debt-to-Equity</t>
  </si>
  <si>
    <t>&lt;1 = Conservative | &gt;2 = High leverage</t>
  </si>
  <si>
    <t>Debt-to-Assets</t>
  </si>
  <si>
    <t>Lower = more asset-financed by equity</t>
  </si>
  <si>
    <t>Interest Coverage (ICR)</t>
  </si>
  <si>
    <t>&gt;3 = Comfortable | &lt;1.5 = Distress zone</t>
  </si>
  <si>
    <t>Equity Multiplier</t>
  </si>
  <si>
    <t>Higher = more financial leverage</t>
  </si>
  <si>
    <t>PROFITABILITY RATIOS</t>
  </si>
  <si>
    <t>Gross Margin</t>
  </si>
  <si>
    <t>Higher = stronger pricing power</t>
  </si>
  <si>
    <t>EBITDA Margin</t>
  </si>
  <si>
    <t>Operating efficiency before D&amp;A</t>
  </si>
  <si>
    <t>Net Profit Margin</t>
  </si>
  <si>
    <t>Bottom-line profitability</t>
  </si>
  <si>
    <t>Return on Equity (ROE)</t>
  </si>
  <si>
    <t>DuPont: NI / Shareholders Equity</t>
  </si>
  <si>
    <t>Return on Assets (ROA)</t>
  </si>
  <si>
    <t>Asset utilization efficiency</t>
  </si>
  <si>
    <t>EFFICIENCY RATIOS</t>
  </si>
  <si>
    <t>Asset Turnover</t>
  </si>
  <si>
    <t>Revenue generated per ₹ of assets</t>
  </si>
  <si>
    <t>Inventory Turnover</t>
  </si>
  <si>
    <t>Higher = faster inventory movement</t>
  </si>
  <si>
    <t>FCF Margin</t>
  </si>
  <si>
    <t>Cash generation quality of revenue</t>
  </si>
  <si>
    <t>PEER BENCHMARKING – FY2024 COMPARATIVE SCORECARD</t>
  </si>
  <si>
    <t>Scores 1–3: 3 = Best in class | Colour: Green=Leader, Amber=Mid, Red=Laggard</t>
  </si>
  <si>
    <t>Metric</t>
  </si>
  <si>
    <t>Monte Carlo</t>
  </si>
  <si>
    <t>Trent</t>
  </si>
  <si>
    <t>Titan</t>
  </si>
  <si>
    <t>Leader</t>
  </si>
  <si>
    <t>Insight</t>
  </si>
  <si>
    <t>MC has strongest short-term liquidity buffer</t>
  </si>
  <si>
    <t>MC least dependent on inventory for liquidity</t>
  </si>
  <si>
    <t>D/E Ratio</t>
  </si>
  <si>
    <t>MC virtually debt-free – strong balance sheet</t>
  </si>
  <si>
    <t>Interest Coverage</t>
  </si>
  <si>
    <t>Titan easily covers interest; Trent improving</t>
  </si>
  <si>
    <t>MC's premium positioning drives higher margins</t>
  </si>
  <si>
    <t>MC leads on operating profitability</t>
  </si>
  <si>
    <t>MC top performer; Trent margin expanding fast</t>
  </si>
  <si>
    <t>ROE</t>
  </si>
  <si>
    <t>MC generates most profit per ₹ of equity</t>
  </si>
  <si>
    <t>ROA</t>
  </si>
  <si>
    <t>MC asset-light model showing efficiency</t>
  </si>
  <si>
    <t>Trent sweats assets hardest – operational edge</t>
  </si>
  <si>
    <t>Trent's fast fashion model = rapid inv. cycle</t>
  </si>
  <si>
    <t>MC &amp; Titan strong FCF; Trent reinvesting</t>
  </si>
  <si>
    <t>Revenue Growth YoY</t>
  </si>
  <si>
    <t>Trent growing revenues fastest -scale play</t>
  </si>
  <si>
    <t>PAT Growth YoY</t>
  </si>
  <si>
    <t>Trent's profit growing fastest from low base</t>
  </si>
  <si>
    <t>Debt/Assets</t>
  </si>
  <si>
    <t>MC holds minimal debt relative to asset base</t>
  </si>
  <si>
    <t>COMPOSITE BENCHMARKING SCORE (Max = 45)</t>
  </si>
  <si>
    <t>TOTAL SCORE</t>
  </si>
  <si>
    <t>KEY FINDINGS</t>
  </si>
  <si>
    <t>Profitability Leader</t>
  </si>
  <si>
    <t>Monte Carlo Fashions</t>
  </si>
  <si>
    <t>Highest gross (47%), EBITDA (26.5%), net margin (16.3%), ROE (25.9%) – premium brand pricing advantage</t>
  </si>
  <si>
    <t>Operational Efficiency</t>
  </si>
  <si>
    <t>Trent Limited</t>
  </si>
  <si>
    <t>Best asset turnover (1.08x) &amp; inventory turnover (4.95x) – fast-fashion lean operations</t>
  </si>
  <si>
    <t>Growth Champion</t>
  </si>
  <si>
    <t>Fastest revenue (+26.6%) and PAT growth (+48.9%) – rapid store expansion strategy</t>
  </si>
  <si>
    <t>Balance Sheet Strength</t>
  </si>
  <si>
    <t>D/E of 0.08x – near zero-debt with strong FCF generation</t>
  </si>
  <si>
    <t>Scale &amp; Reach</t>
  </si>
  <si>
    <t>Titan Company</t>
  </si>
  <si>
    <t>Largest revenues (₹40,200 Cr) with strong ICR (22.9x) and diversified portfolio</t>
  </si>
  <si>
    <t>YIELD CURVE DYNAMICS – MACROECONOMIC RISK ANALYSIS</t>
  </si>
  <si>
    <t>Government Bond Yields (%)  |  India, Pakistan, Japan  |  May 2026 Snapshot</t>
  </si>
  <si>
    <t>INDIA</t>
  </si>
  <si>
    <t>PAKISTAN</t>
  </si>
  <si>
    <t>Tenor</t>
  </si>
  <si>
    <t>Yield (%)</t>
  </si>
  <si>
    <t>Spread to 3M</t>
  </si>
  <si>
    <t>YoY Δ (bps)</t>
  </si>
  <si>
    <t>3M</t>
  </si>
  <si>
    <t>6M</t>
  </si>
  <si>
    <t>1Y</t>
  </si>
  <si>
    <t>2Y</t>
  </si>
  <si>
    <t>3Y</t>
  </si>
  <si>
    <t>5Y</t>
  </si>
  <si>
    <t>7Y</t>
  </si>
  <si>
    <t>10Y</t>
  </si>
  <si>
    <t>15Y</t>
  </si>
  <si>
    <t>20Y</t>
  </si>
  <si>
    <t>30Y</t>
  </si>
  <si>
    <t>JAPAN</t>
  </si>
  <si>
    <t>MACROECONOMIC RISK IMPLICATIONS</t>
  </si>
  <si>
    <t>India – Normal Upward Slope</t>
  </si>
  <si>
    <t>Yield curve shows mild positive slope (+60bps 3M→30Y). RBI holding rates stable with controlled inflation (~4.5%). Normal curve signals healthy growth expectations. Modest easing cycle may commence in H2 2026.</t>
  </si>
  <si>
    <t>Pakistan – Inverted / Steep Inversion</t>
  </si>
  <si>
    <t>Highly elevated short-end yields (22%+) reflect acute inflation &amp; IMF program constraints. Long-end compression (16%) signals market expectation of eventual rate normalisation. Sovereign risk premium extremely high – avoid PKR assets near-term.</t>
  </si>
  <si>
    <t>Japan – Steepening Curve (YCC Exit)</t>
  </si>
  <si>
    <t>Bank of Japan's gradual YCC exit has steepened the curve dramatically. 30Y yields near 2.30%, highest in decades. Rising yields pressure JGB holders &amp; life insurers. Yen carry trade unwinding risk if BOJ tightens faster than expected.</t>
  </si>
  <si>
    <t>Cross-Country Risk Implications</t>
  </si>
  <si>
    <t>India relatively safe for institutional investment; Pakistan remains a distressed market. Japan curve normalisation could trigger global bond reallocation. Spread between India 10Y (7.25%) and Japan 10Y (1.45%) = 580bps – attractive for INR carry trades.</t>
  </si>
  <si>
    <t>VISUAL ANALYSIS – CHARTS &amp; DASHBOARDS</t>
  </si>
  <si>
    <t>Company</t>
  </si>
  <si>
    <t>Net Margin</t>
  </si>
  <si>
    <t>Year</t>
  </si>
  <si>
    <t>India</t>
  </si>
  <si>
    <t>Pakistan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</si>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</sst>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\x"/>
    <numFmt numFmtId="165" formatCode="0.0%"/>
    <numFmt numFmtId="166" formatCode="0.0\x"/>
    <numFmt numFmtId="167" formatCode="\+0.00;\-0.00;\-"/>
    <numFmt numFmtId="168" formatCode="\+0;\-0;\-"/>
    <numFmt numFmtId="169" formatCode="\+0.00%;\-0.00%;\-"/>
  </numFmts>
  <fonts count="28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B2A4A"/>
      <name val="Arial"/>
      <charset val="1"/>
    </font>
    <font>
      <b/>
      <sz val="9"/>
      <color rgb="FF2E5090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i/>
      <sz val="9"/>
      <color rgb="FF000000"/>
      <name val="Arial"/>
      <charset val="1"/>
    </font>
    <font>
      <sz val="9"/>
      <color rgb="FF008000"/>
      <name val="Arial"/>
      <charset val="1"/>
    </font>
    <font>
      <sz val="9"/>
      <color rgb="FFFF0000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B2A4A"/>
      <name val="Arial"/>
      <charset val="1"/>
    </font>
    <font>
      <sz val="9"/>
      <color rgb="FF1B2A4A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i/>
      <sz val="8"/>
      <color rgb="FF2E5090"/>
      <name val="Arial"/>
      <charset val="1"/>
    </font>
    <font>
      <b/>
      <sz val="9"/>
      <color rgb="FF000000"/>
      <name val="Arial"/>
      <charset val="1"/>
    </font>
    <font>
      <b/>
      <sz val="9"/>
      <color rgb="FF1A7A4A"/>
      <name val="Arial"/>
      <charset val="1"/>
    </font>
    <font>
      <i/>
      <sz val="8"/>
      <color rgb="FF1B2A4A"/>
      <name val="Arial"/>
      <charset val="1"/>
    </font>
    <font>
      <b/>
      <sz val="11"/>
      <color rgb="FF1A7A4A"/>
      <name val="Arial"/>
      <charset val="1"/>
    </font>
    <font>
      <b/>
      <sz val="11"/>
      <color rgb="FF000000"/>
      <name val="Arial"/>
      <charset val="1"/>
    </font>
    <font>
      <i/>
      <sz val="8"/>
      <color rgb="FF000000"/>
      <name val="Arial"/>
      <charset val="1"/>
    </font>
    <font>
      <sz val="10"/>
      <color rgb="FF1A7A4A"/>
      <name val="Arial"/>
      <charset val="1"/>
    </font>
    <font>
      <sz val="10"/>
      <color rgb="FFC0392B"/>
      <name val="Arial"/>
      <charset val="1"/>
    </font>
    <font>
      <sz val="8"/>
      <color rgb="FF000000"/>
      <name val="Arial"/>
      <charset val="1"/>
    </font>
    <font>
      <sz val="8"/>
      <color rgb="FF1B2A4A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B2A4A"/>
        <bgColor rgb="FF1A3E6B"/>
      </patternFill>
    </fill>
    <fill>
      <patternFill patternType="solid">
        <fgColor rgb="FF2E5090"/>
        <bgColor rgb="FF1A3E6B"/>
      </patternFill>
    </fill>
    <fill>
      <patternFill patternType="solid">
        <fgColor rgb="FF1A3E6B"/>
        <bgColor rgb="FF1B2A4A"/>
      </patternFill>
    </fill>
    <fill>
      <patternFill patternType="solid">
        <fgColor rgb="FF1A5C38"/>
        <bgColor rgb="FF1A7A4A"/>
      </patternFill>
    </fill>
    <fill>
      <patternFill patternType="solid">
        <fgColor rgb="FF6B3A1A"/>
        <bgColor rgb="FF800000"/>
      </patternFill>
    </fill>
    <fill>
      <patternFill patternType="solid">
        <fgColor rgb="FFD6E4F7"/>
        <bgColor rgb="FFD9D9D9"/>
      </patternFill>
    </fill>
    <fill>
      <patternFill patternType="solid">
        <fgColor rgb="FFF2F4F8"/>
        <bgColor rgb="FFF0F4FF"/>
      </patternFill>
    </fill>
    <fill>
      <patternFill patternType="solid">
        <fgColor rgb="FFFFFFFF"/>
        <bgColor rgb="FFF9F9F9"/>
      </patternFill>
    </fill>
    <fill>
      <patternFill patternType="solid">
        <fgColor rgb="FFF0F4FF"/>
        <bgColor rgb="FFF2F4F8"/>
      </patternFill>
    </fill>
    <fill>
      <patternFill patternType="solid">
        <fgColor rgb="FFC8E6C9"/>
        <bgColor rgb="FFD9D9D9"/>
      </patternFill>
    </fill>
    <fill>
      <patternFill patternType="solid">
        <fgColor rgb="FFFFF9C4"/>
        <bgColor rgb="FFF9F9F9"/>
      </patternFill>
    </fill>
    <fill>
      <patternFill patternType="solid">
        <fgColor rgb="FFFFCDD2"/>
        <bgColor rgb="FFD9D9D9"/>
      </patternFill>
    </fill>
    <fill>
      <patternFill patternType="solid">
        <fgColor rgb="FFE8F5E9"/>
        <bgColor rgb="FFF2F4F8"/>
      </patternFill>
    </fill>
    <fill>
      <patternFill patternType="solid">
        <fgColor rgb="FFFF8F00"/>
        <bgColor rgb="FFFF6600"/>
      </patternFill>
    </fill>
    <fill>
      <patternFill patternType="solid">
        <fgColor rgb="FFC62828"/>
        <bgColor rgb="FFC0392B"/>
      </patternFill>
    </fill>
    <fill>
      <patternFill patternType="solid">
        <fgColor rgb="FF1565C0"/>
        <bgColor rgb="FF2E509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6" fillId="9" borderId="2" xfId="0" applyFont="1" applyFill="1" applyBorder="1" applyAlignment="1">
      <alignment horizontal="left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3" fillId="7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left" vertical="center"/>
    </xf>
    <xf numFmtId="3" fontId="15" fillId="9" borderId="3" xfId="0" applyNumberFormat="1" applyFont="1" applyFill="1" applyBorder="1" applyAlignment="1">
      <alignment horizontal="right" vertical="center"/>
    </xf>
    <xf numFmtId="3" fontId="16" fillId="10" borderId="3" xfId="0" applyNumberFormat="1" applyFont="1" applyFill="1" applyBorder="1" applyAlignment="1">
      <alignment horizontal="right" vertical="center"/>
    </xf>
    <xf numFmtId="2" fontId="16" fillId="9" borderId="3" xfId="0" applyNumberFormat="1" applyFont="1" applyFill="1" applyBorder="1" applyAlignment="1">
      <alignment horizontal="right" vertical="center"/>
    </xf>
    <xf numFmtId="0" fontId="17" fillId="8" borderId="3" xfId="0" applyFont="1" applyFill="1" applyBorder="1" applyAlignment="1">
      <alignment horizontal="left" vertical="center" wrapText="1"/>
    </xf>
    <xf numFmtId="164" fontId="16" fillId="9" borderId="3" xfId="0" applyNumberFormat="1" applyFont="1" applyFill="1" applyBorder="1" applyAlignment="1">
      <alignment horizontal="right" vertical="center"/>
    </xf>
    <xf numFmtId="165" fontId="16" fillId="9" borderId="3" xfId="0" applyNumberFormat="1" applyFont="1" applyFill="1" applyBorder="1" applyAlignment="1">
      <alignment horizontal="right" vertical="center"/>
    </xf>
    <xf numFmtId="166" fontId="16" fillId="9" borderId="3" xfId="0" applyNumberFormat="1" applyFont="1" applyFill="1" applyBorder="1" applyAlignment="1">
      <alignment horizontal="right" vertical="center"/>
    </xf>
    <xf numFmtId="2" fontId="18" fillId="11" borderId="3" xfId="0" applyNumberFormat="1" applyFont="1" applyFill="1" applyBorder="1" applyAlignment="1">
      <alignment horizontal="center" vertical="center" wrapText="1"/>
    </xf>
    <xf numFmtId="2" fontId="5" fillId="12" borderId="3" xfId="0" applyNumberFormat="1" applyFont="1" applyFill="1" applyBorder="1" applyAlignment="1">
      <alignment horizontal="center" vertical="center" wrapText="1"/>
    </xf>
    <xf numFmtId="2" fontId="5" fillId="13" borderId="3" xfId="0" applyNumberFormat="1" applyFont="1" applyFill="1" applyBorder="1" applyAlignment="1">
      <alignment horizontal="center" vertical="center" wrapText="1"/>
    </xf>
    <xf numFmtId="0" fontId="19" fillId="14" borderId="3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left" vertical="center"/>
    </xf>
    <xf numFmtId="164" fontId="5" fillId="13" borderId="3" xfId="0" applyNumberFormat="1" applyFont="1" applyFill="1" applyBorder="1" applyAlignment="1">
      <alignment horizontal="center" vertical="center" wrapText="1"/>
    </xf>
    <xf numFmtId="164" fontId="18" fillId="11" borderId="3" xfId="0" applyNumberFormat="1" applyFont="1" applyFill="1" applyBorder="1" applyAlignment="1">
      <alignment horizontal="center" vertical="center" wrapText="1"/>
    </xf>
    <xf numFmtId="164" fontId="5" fillId="12" borderId="3" xfId="0" applyNumberFormat="1" applyFont="1" applyFill="1" applyBorder="1" applyAlignment="1">
      <alignment horizontal="center" vertical="center" wrapText="1"/>
    </xf>
    <xf numFmtId="166" fontId="5" fillId="12" borderId="3" xfId="0" applyNumberFormat="1" applyFont="1" applyFill="1" applyBorder="1" applyAlignment="1">
      <alignment horizontal="center" vertical="center" wrapText="1"/>
    </xf>
    <xf numFmtId="166" fontId="5" fillId="13" borderId="3" xfId="0" applyNumberFormat="1" applyFont="1" applyFill="1" applyBorder="1" applyAlignment="1">
      <alignment horizontal="center" vertical="center" wrapText="1"/>
    </xf>
    <xf numFmtId="166" fontId="18" fillId="11" borderId="3" xfId="0" applyNumberFormat="1" applyFont="1" applyFill="1" applyBorder="1" applyAlignment="1">
      <alignment horizontal="center" vertical="center" wrapText="1"/>
    </xf>
    <xf numFmtId="165" fontId="18" fillId="11" borderId="3" xfId="0" applyNumberFormat="1" applyFont="1" applyFill="1" applyBorder="1" applyAlignment="1">
      <alignment horizontal="center" vertical="center" wrapText="1"/>
    </xf>
    <xf numFmtId="165" fontId="5" fillId="12" borderId="3" xfId="0" applyNumberFormat="1" applyFont="1" applyFill="1" applyBorder="1" applyAlignment="1">
      <alignment horizontal="center" vertical="center" wrapText="1"/>
    </xf>
    <xf numFmtId="165" fontId="5" fillId="13" borderId="3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21" fillId="11" borderId="3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13" fillId="7" borderId="3" xfId="0" applyFont="1" applyFill="1" applyBorder="1"/>
    <xf numFmtId="0" fontId="19" fillId="14" borderId="3" xfId="0" applyFont="1" applyFill="1" applyBorder="1"/>
    <xf numFmtId="10" fontId="15" fillId="9" borderId="3" xfId="0" applyNumberFormat="1" applyFont="1" applyFill="1" applyBorder="1" applyAlignment="1">
      <alignment horizontal="right" vertical="center"/>
    </xf>
    <xf numFmtId="167" fontId="16" fillId="9" borderId="3" xfId="0" applyNumberFormat="1" applyFont="1" applyFill="1" applyBorder="1" applyAlignment="1">
      <alignment horizontal="right" vertical="center"/>
    </xf>
    <xf numFmtId="168" fontId="24" fillId="9" borderId="3" xfId="0" applyNumberFormat="1" applyFont="1" applyFill="1" applyBorder="1" applyAlignment="1">
      <alignment horizontal="right" vertical="center"/>
    </xf>
    <xf numFmtId="168" fontId="25" fillId="9" borderId="3" xfId="0" applyNumberFormat="1" applyFont="1" applyFill="1" applyBorder="1" applyAlignment="1">
      <alignment horizontal="right" vertical="center"/>
    </xf>
    <xf numFmtId="10" fontId="15" fillId="8" borderId="3" xfId="0" applyNumberFormat="1" applyFont="1" applyFill="1" applyBorder="1" applyAlignment="1">
      <alignment horizontal="right" vertical="center"/>
    </xf>
    <xf numFmtId="167" fontId="16" fillId="8" borderId="3" xfId="0" applyNumberFormat="1" applyFont="1" applyFill="1" applyBorder="1" applyAlignment="1">
      <alignment horizontal="right" vertical="center"/>
    </xf>
    <xf numFmtId="168" fontId="24" fillId="8" borderId="3" xfId="0" applyNumberFormat="1" applyFont="1" applyFill="1" applyBorder="1" applyAlignment="1">
      <alignment horizontal="right" vertical="center"/>
    </xf>
    <xf numFmtId="168" fontId="25" fillId="8" borderId="3" xfId="0" applyNumberFormat="1" applyFont="1" applyFill="1" applyBorder="1" applyAlignment="1">
      <alignment horizontal="right" vertical="center"/>
    </xf>
    <xf numFmtId="169" fontId="15" fillId="9" borderId="3" xfId="0" applyNumberFormat="1" applyFont="1" applyFill="1" applyBorder="1" applyAlignment="1">
      <alignment horizontal="right" vertical="center"/>
    </xf>
    <xf numFmtId="169" fontId="15" fillId="8" borderId="3" xfId="0" applyNumberFormat="1" applyFont="1" applyFill="1" applyBorder="1" applyAlignment="1">
      <alignment horizontal="right" vertical="center"/>
    </xf>
    <xf numFmtId="0" fontId="27" fillId="8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62828"/>
      <rgbColor rgb="FF008000"/>
      <rgbColor rgb="FF000080"/>
      <rgbColor rgb="FF808000"/>
      <rgbColor rgb="FF800080"/>
      <rgbColor rgb="FF1A7A4A"/>
      <rgbColor rgb="FFBDBDBD"/>
      <rgbColor rgb="FF878787"/>
      <rgbColor rgb="FF9999FF"/>
      <rgbColor rgb="FFBE4B48"/>
      <rgbColor rgb="FFFFF9C4"/>
      <rgbColor rgb="FFE8F5E9"/>
      <rgbColor rgb="FF660066"/>
      <rgbColor rgb="FFC9A84C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1A5C38"/>
      <rgbColor rgb="FF0000FF"/>
      <rgbColor rgb="FF00CCFF"/>
      <rgbColor rgb="FFF0F4FF"/>
      <rgbColor rgb="FFC8E6C9"/>
      <rgbColor rgb="FFF9F9F9"/>
      <rgbColor rgb="FFD6E4F7"/>
      <rgbColor rgb="FFF2F4F8"/>
      <rgbColor rgb="FFCC99FF"/>
      <rgbColor rgb="FFFFCDD2"/>
      <rgbColor rgb="FF4F81BD"/>
      <rgbColor rgb="FF33CCCC"/>
      <rgbColor rgb="FF98B855"/>
      <rgbColor rgb="FFFFCC00"/>
      <rgbColor rgb="FFFF8F00"/>
      <rgbColor rgb="FFFF6600"/>
      <rgbColor rgb="FF4A7EBB"/>
      <rgbColor rgb="FF9BBB59"/>
      <rgbColor rgb="FF1A3E6B"/>
      <rgbColor rgb="FF339966"/>
      <rgbColor rgb="FF003300"/>
      <rgbColor rgb="FF6B3A1A"/>
      <rgbColor rgb="FFC0392B"/>
      <rgbColor rgb="FFC0504D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Profitability Margins FY2024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Charts!R3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Charts!$Q$4:$Q$6</c:f>
              <c:strCache>
                <c:ptCount val="3"/>
                <c:pt idx="0">
                  <c:v>Monte Carlo</c:v>
                </c:pt>
                <c:pt idx="1">
                  <c:v>Trent</c:v>
                </c:pt>
                <c:pt idx="2">
                  <c:v>Titan</c:v>
                </c:pt>
              </c:strCache>
            </c:strRef>
          </c:cat>
          <c:val>
            <c:numRef>
              <c:f>Charts!$R$4:$R$6</c:f>
              <c:numCache>
                <c:formatCode>General</c:formatCode>
                <c:ptCount val="3"/>
                <c:pt idx="0">
                  <c:v>0.47</c:v>
                </c:pt>
                <c:pt idx="1">
                  <c:v>0.433</c:v>
                </c:pt>
                <c:pt idx="2">
                  <c:v>0.30099999999999999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5-4482-96C4-37DFB073244A}"/>
            </c:ext>
          </c:extLst>
        </c:ser>
        <c:ser>
          <c:idx val="1"/>
          <c:order val="1"/>
          <c:tx>
            <c:strRef>
              <c:f>Charts!S3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Charts!$Q$4:$Q$6</c:f>
              <c:strCache>
                <c:ptCount val="3"/>
                <c:pt idx="0">
                  <c:v>Monte Carlo</c:v>
                </c:pt>
                <c:pt idx="1">
                  <c:v>Trent</c:v>
                </c:pt>
                <c:pt idx="2">
                  <c:v>Titan</c:v>
                </c:pt>
              </c:strCache>
            </c:strRef>
          </c:cat>
          <c:val>
            <c:numRef>
              <c:f>Charts!$S$4:$S$6</c:f>
              <c:numCache>
                <c:formatCode>General</c:formatCode>
                <c:ptCount val="3"/>
                <c:pt idx="0">
                  <c:v>0.26500000000000001</c:v>
                </c:pt>
                <c:pt idx="1">
                  <c:v>0.126</c:v>
                </c:pt>
                <c:pt idx="2">
                  <c:v>0.184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85-4482-96C4-37DFB073244A}"/>
            </c:ext>
          </c:extLst>
        </c:ser>
        <c:ser>
          <c:idx val="2"/>
          <c:order val="2"/>
          <c:tx>
            <c:strRef>
              <c:f>Charts!T3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Charts!$Q$4:$Q$6</c:f>
              <c:strCache>
                <c:ptCount val="3"/>
                <c:pt idx="0">
                  <c:v>Monte Carlo</c:v>
                </c:pt>
                <c:pt idx="1">
                  <c:v>Trent</c:v>
                </c:pt>
                <c:pt idx="2">
                  <c:v>Titan</c:v>
                </c:pt>
              </c:strCache>
            </c:strRef>
          </c:cat>
          <c:val>
            <c:numRef>
              <c:f>Charts!$T$4:$T$6</c:f>
              <c:numCache>
                <c:formatCode>General</c:formatCode>
                <c:ptCount val="3"/>
                <c:pt idx="0">
                  <c:v>0.16300000000000001</c:v>
                </c:pt>
                <c:pt idx="1">
                  <c:v>7.2999999999999995E-2</c:v>
                </c:pt>
                <c:pt idx="2">
                  <c:v>9.8000000000000004E-2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85-4482-96C4-37DFB0732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8943"/>
        <c:axId val="39598493"/>
      </c:barChart>
      <c:catAx>
        <c:axId val="99289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598493"/>
        <c:crosses val="autoZero"/>
        <c:auto val="1"/>
        <c:lblAlgn val="ctr"/>
        <c:lblOffset val="100"/>
        <c:noMultiLvlLbl val="0"/>
      </c:catAx>
      <c:valAx>
        <c:axId val="395984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89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Growth FY2022–FY2024 (₹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Charts!R10</c:f>
              <c:strCache>
                <c:ptCount val="1"/>
                <c:pt idx="0">
                  <c:v>Monte Carlo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Charts!$Q$11:$Q$13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Charts!$R$11:$R$13</c:f>
              <c:numCache>
                <c:formatCode>General</c:formatCode>
                <c:ptCount val="3"/>
                <c:pt idx="0">
                  <c:v>1240</c:v>
                </c:pt>
                <c:pt idx="1">
                  <c:v>1520</c:v>
                </c:pt>
                <c:pt idx="2">
                  <c:v>1810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9-4178-B382-15F0F04F6411}"/>
            </c:ext>
          </c:extLst>
        </c:ser>
        <c:ser>
          <c:idx val="1"/>
          <c:order val="1"/>
          <c:tx>
            <c:strRef>
              <c:f>Charts!S10</c:f>
              <c:strCache>
                <c:ptCount val="1"/>
                <c:pt idx="0">
                  <c:v>Trent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Charts!$Q$11:$Q$13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Charts!$S$11:$S$13</c:f>
              <c:numCache>
                <c:formatCode>General</c:formatCode>
                <c:ptCount val="3"/>
                <c:pt idx="0">
                  <c:v>8050</c:v>
                </c:pt>
                <c:pt idx="1">
                  <c:v>10900</c:v>
                </c:pt>
                <c:pt idx="2">
                  <c:v>13800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9-4178-B382-15F0F04F6411}"/>
            </c:ext>
          </c:extLst>
        </c:ser>
        <c:ser>
          <c:idx val="2"/>
          <c:order val="2"/>
          <c:tx>
            <c:strRef>
              <c:f>Charts!T10</c:f>
              <c:strCache>
                <c:ptCount val="1"/>
                <c:pt idx="0">
                  <c:v>Titan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Charts!$Q$11:$Q$13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Charts!$T$11:$T$13</c:f>
              <c:numCache>
                <c:formatCode>General</c:formatCode>
                <c:ptCount val="3"/>
                <c:pt idx="0">
                  <c:v>28000</c:v>
                </c:pt>
                <c:pt idx="1">
                  <c:v>32200</c:v>
                </c:pt>
                <c:pt idx="2">
                  <c:v>40200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D79-4178-B382-15F0F04F6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480077"/>
        <c:axId val="19393625"/>
      </c:lineChart>
      <c:catAx>
        <c:axId val="874800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93625"/>
        <c:crosses val="autoZero"/>
        <c:auto val="1"/>
        <c:lblAlgn val="ctr"/>
        <c:lblOffset val="100"/>
        <c:noMultiLvlLbl val="0"/>
      </c:catAx>
      <c:valAx>
        <c:axId val="19393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4800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Yield Curve Comparison – India vs Japan (May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Charts!R20</c:f>
              <c:strCache>
                <c:ptCount val="1"/>
                <c:pt idx="0">
                  <c:v>India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Charts!$Q$21:$Q$31</c:f>
              <c:strCache>
                <c:ptCount val="11"/>
                <c:pt idx="0">
                  <c:v>3M</c:v>
                </c:pt>
                <c:pt idx="1">
                  <c:v>6M</c:v>
                </c:pt>
                <c:pt idx="2">
                  <c:v>1Y</c:v>
                </c:pt>
                <c:pt idx="3">
                  <c:v>2Y</c:v>
                </c:pt>
                <c:pt idx="4">
                  <c:v>3Y</c:v>
                </c:pt>
                <c:pt idx="5">
                  <c:v>5Y</c:v>
                </c:pt>
                <c:pt idx="6">
                  <c:v>7Y</c:v>
                </c:pt>
                <c:pt idx="7">
                  <c:v>10Y</c:v>
                </c:pt>
                <c:pt idx="8">
                  <c:v>15Y</c:v>
                </c:pt>
                <c:pt idx="9">
                  <c:v>20Y</c:v>
                </c:pt>
                <c:pt idx="10">
                  <c:v>30Y</c:v>
                </c:pt>
              </c:strCache>
            </c:strRef>
          </c:cat>
          <c:val>
            <c:numRef>
              <c:f>Charts!$R$21:$R$31</c:f>
              <c:numCache>
                <c:formatCode>General</c:formatCode>
                <c:ptCount val="11"/>
                <c:pt idx="0">
                  <c:v>6.85</c:v>
                </c:pt>
                <c:pt idx="1">
                  <c:v>6.9</c:v>
                </c:pt>
                <c:pt idx="2">
                  <c:v>6.95</c:v>
                </c:pt>
                <c:pt idx="3">
                  <c:v>7</c:v>
                </c:pt>
                <c:pt idx="4">
                  <c:v>7.05</c:v>
                </c:pt>
                <c:pt idx="5">
                  <c:v>7.1</c:v>
                </c:pt>
                <c:pt idx="6">
                  <c:v>7.2</c:v>
                </c:pt>
                <c:pt idx="7">
                  <c:v>7.25</c:v>
                </c:pt>
                <c:pt idx="8">
                  <c:v>7.35</c:v>
                </c:pt>
                <c:pt idx="9">
                  <c:v>7.4</c:v>
                </c:pt>
                <c:pt idx="10">
                  <c:v>7.45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75-4925-91F8-B93183D83D12}"/>
            </c:ext>
          </c:extLst>
        </c:ser>
        <c:ser>
          <c:idx val="1"/>
          <c:order val="1"/>
          <c:tx>
            <c:strRef>
              <c:f>Charts!T20</c:f>
              <c:strCache>
                <c:ptCount val="1"/>
                <c:pt idx="0">
                  <c:v>Japan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Charts!$Q$21:$Q$31</c:f>
              <c:strCache>
                <c:ptCount val="11"/>
                <c:pt idx="0">
                  <c:v>3M</c:v>
                </c:pt>
                <c:pt idx="1">
                  <c:v>6M</c:v>
                </c:pt>
                <c:pt idx="2">
                  <c:v>1Y</c:v>
                </c:pt>
                <c:pt idx="3">
                  <c:v>2Y</c:v>
                </c:pt>
                <c:pt idx="4">
                  <c:v>3Y</c:v>
                </c:pt>
                <c:pt idx="5">
                  <c:v>5Y</c:v>
                </c:pt>
                <c:pt idx="6">
                  <c:v>7Y</c:v>
                </c:pt>
                <c:pt idx="7">
                  <c:v>10Y</c:v>
                </c:pt>
                <c:pt idx="8">
                  <c:v>15Y</c:v>
                </c:pt>
                <c:pt idx="9">
                  <c:v>20Y</c:v>
                </c:pt>
                <c:pt idx="10">
                  <c:v>30Y</c:v>
                </c:pt>
              </c:strCache>
            </c:strRef>
          </c:cat>
          <c:val>
            <c:numRef>
              <c:f>Charts!$T$21:$T$31</c:f>
              <c:numCache>
                <c:formatCode>General</c:formatCode>
                <c:ptCount val="11"/>
                <c:pt idx="0">
                  <c:v>-0.02</c:v>
                </c:pt>
                <c:pt idx="1">
                  <c:v>0.05</c:v>
                </c:pt>
                <c:pt idx="2">
                  <c:v>0.15</c:v>
                </c:pt>
                <c:pt idx="3">
                  <c:v>0.35</c:v>
                </c:pt>
                <c:pt idx="4">
                  <c:v>0.55000000000000004</c:v>
                </c:pt>
                <c:pt idx="5">
                  <c:v>0.85</c:v>
                </c:pt>
                <c:pt idx="6">
                  <c:v>1.05</c:v>
                </c:pt>
                <c:pt idx="7">
                  <c:v>1.45</c:v>
                </c:pt>
                <c:pt idx="8">
                  <c:v>1.85</c:v>
                </c:pt>
                <c:pt idx="9">
                  <c:v>2.1</c:v>
                </c:pt>
                <c:pt idx="10">
                  <c:v>2.2999999999999998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75-4925-91F8-B93183D83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309366"/>
        <c:axId val="8655559"/>
      </c:lineChart>
      <c:catAx>
        <c:axId val="383093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55559"/>
        <c:crosses val="autoZero"/>
        <c:auto val="1"/>
        <c:lblAlgn val="ctr"/>
        <c:lblOffset val="100"/>
        <c:noMultiLvlLbl val="0"/>
      </c:catAx>
      <c:valAx>
        <c:axId val="86555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Yield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093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Return Metrics – ROE vs ROA FY2024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Charts!R35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Charts!$Q$36:$Q$38</c:f>
              <c:strCache>
                <c:ptCount val="3"/>
                <c:pt idx="0">
                  <c:v>Monte Carlo</c:v>
                </c:pt>
                <c:pt idx="1">
                  <c:v>Trent</c:v>
                </c:pt>
                <c:pt idx="2">
                  <c:v>Titan</c:v>
                </c:pt>
              </c:strCache>
            </c:strRef>
          </c:cat>
          <c:val>
            <c:numRef>
              <c:f>Charts!$R$36:$R$38</c:f>
              <c:numCache>
                <c:formatCode>General</c:formatCode>
                <c:ptCount val="3"/>
                <c:pt idx="0">
                  <c:v>0.25900000000000001</c:v>
                </c:pt>
                <c:pt idx="1">
                  <c:v>0.16</c:v>
                </c:pt>
                <c:pt idx="2">
                  <c:v>0.192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8-47BA-9DD6-8BD6C3656F1A}"/>
            </c:ext>
          </c:extLst>
        </c:ser>
        <c:ser>
          <c:idx val="1"/>
          <c:order val="1"/>
          <c:tx>
            <c:strRef>
              <c:f>Charts!S35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Charts!$Q$36:$Q$38</c:f>
              <c:strCache>
                <c:ptCount val="3"/>
                <c:pt idx="0">
                  <c:v>Monte Carlo</c:v>
                </c:pt>
                <c:pt idx="1">
                  <c:v>Trent</c:v>
                </c:pt>
                <c:pt idx="2">
                  <c:v>Titan</c:v>
                </c:pt>
              </c:strCache>
            </c:strRef>
          </c:cat>
          <c:val>
            <c:numRef>
              <c:f>Charts!$S$36:$S$38</c:f>
              <c:numCache>
                <c:formatCode>General</c:formatCode>
                <c:ptCount val="3"/>
                <c:pt idx="0">
                  <c:v>0.154</c:v>
                </c:pt>
                <c:pt idx="1">
                  <c:v>7.9000000000000001E-2</c:v>
                </c:pt>
                <c:pt idx="2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58-47BA-9DD6-8BD6C3656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56250"/>
        <c:axId val="11902284"/>
      </c:barChart>
      <c:catAx>
        <c:axId val="768562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02284"/>
        <c:crosses val="autoZero"/>
        <c:auto val="1"/>
        <c:lblAlgn val="ctr"/>
        <c:lblOffset val="100"/>
        <c:noMultiLvlLbl val="0"/>
      </c:catAx>
      <c:valAx>
        <c:axId val="119022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56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171450</xdr:rowOff>
    </xdr:from>
    <xdr:to>
      <xdr:col>9</xdr:col>
      <xdr:colOff>76200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123825</xdr:colOff>
      <xdr:row>19</xdr:row>
      <xdr:rowOff>123825</xdr:rowOff>
    </xdr:from>
    <xdr:to>
      <xdr:col>8</xdr:col>
      <xdr:colOff>561975</xdr:colOff>
      <xdr:row>36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571500</xdr:colOff>
      <xdr:row>20</xdr:row>
      <xdr:rowOff>9525</xdr:rowOff>
    </xdr:from>
    <xdr:to>
      <xdr:col>15</xdr:col>
      <xdr:colOff>257175</xdr:colOff>
      <xdr:row>36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  <a:ext uri="{147F2762-F138-4A5C-976F-8EAC2B608ADB}">
              <a16:predDERef xmlns:a16="http://schemas.microsoft.com/office/drawing/2014/main" pre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76200</xdr:colOff>
      <xdr:row>1</xdr:row>
      <xdr:rowOff>171450</xdr:rowOff>
    </xdr:from>
    <xdr:to>
      <xdr:col>15</xdr:col>
      <xdr:colOff>552450</xdr:colOff>
      <xdr:row>19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  <a:ext uri="{147F2762-F138-4A5C-976F-8EAC2B608ADB}">
              <a16:predDERef xmlns:a16="http://schemas.microsoft.com/office/drawing/2014/main" pre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  <pageSetUpPr fitToPage="1"/>
  </sheetPr>
  <dimension ref="B1:D24"/>
  <sheetViews>
    <sheetView zoomScaleNormal="100" workbookViewId="0"/>
  </sheetViews>
  <sheetFormatPr defaultColWidth="8.7109375" defaultRowHeight="15"/>
  <cols>
    <col min="1" max="1" width="4" customWidth="1"/>
    <col min="2" max="2" width="40" customWidth="1"/>
    <col min="3" max="4" width="30" customWidth="1"/>
    <col min="5" max="5" width="4" customWidth="1"/>
  </cols>
  <sheetData>
    <row r="1" spans="2:4" ht="7.5" customHeight="1"/>
    <row r="2" spans="2:4" ht="27.75" customHeight="1">
      <c r="B2" s="14" t="s">
        <v>0</v>
      </c>
      <c r="C2" s="14"/>
      <c r="D2" s="14"/>
    </row>
    <row r="3" spans="2:4" ht="27.75" customHeight="1">
      <c r="B3" s="13" t="s">
        <v>1</v>
      </c>
      <c r="C3" s="13"/>
      <c r="D3" s="13"/>
    </row>
    <row r="4" spans="2:4" ht="27.75" customHeight="1"/>
    <row r="5" spans="2:4" ht="27.75" customHeight="1">
      <c r="B5" s="15" t="s">
        <v>2</v>
      </c>
    </row>
    <row r="6" spans="2:4" ht="27.75" customHeight="1">
      <c r="B6" s="16" t="s">
        <v>3</v>
      </c>
      <c r="C6" s="17" t="s">
        <v>4</v>
      </c>
    </row>
    <row r="7" spans="2:4" ht="27.75" customHeight="1">
      <c r="B7" s="16" t="s">
        <v>5</v>
      </c>
      <c r="C7" s="17" t="s">
        <v>6</v>
      </c>
    </row>
    <row r="8" spans="2:4" ht="27.75" customHeight="1">
      <c r="B8" s="16" t="s">
        <v>7</v>
      </c>
      <c r="C8" s="17" t="s">
        <v>8</v>
      </c>
    </row>
    <row r="9" spans="2:4" ht="27.75" customHeight="1">
      <c r="B9" s="16" t="s">
        <v>9</v>
      </c>
      <c r="C9" s="17" t="s">
        <v>10</v>
      </c>
    </row>
    <row r="10" spans="2:4" ht="27.75" customHeight="1">
      <c r="B10" s="16" t="s">
        <v>11</v>
      </c>
      <c r="C10" s="17" t="s">
        <v>12</v>
      </c>
    </row>
    <row r="11" spans="2:4" ht="27.75" customHeight="1">
      <c r="B11" s="16" t="s">
        <v>13</v>
      </c>
      <c r="C11" s="17" t="s">
        <v>14</v>
      </c>
    </row>
    <row r="12" spans="2:4" ht="27.75" customHeight="1"/>
    <row r="13" spans="2:4" ht="27.75" customHeight="1">
      <c r="B13" s="15" t="s">
        <v>15</v>
      </c>
    </row>
    <row r="14" spans="2:4" ht="27.75" customHeight="1">
      <c r="B14" s="16" t="s">
        <v>16</v>
      </c>
      <c r="C14" s="17" t="s">
        <v>17</v>
      </c>
    </row>
    <row r="15" spans="2:4" ht="27.75" customHeight="1">
      <c r="B15" s="16" t="s">
        <v>18</v>
      </c>
      <c r="C15" s="17" t="s">
        <v>19</v>
      </c>
    </row>
    <row r="16" spans="2:4" ht="27.75" customHeight="1">
      <c r="B16" s="16" t="s">
        <v>20</v>
      </c>
      <c r="C16" s="17" t="s">
        <v>21</v>
      </c>
    </row>
    <row r="17" spans="2:3" ht="27.75" customHeight="1">
      <c r="B17" s="16" t="s">
        <v>22</v>
      </c>
      <c r="C17" s="17" t="s">
        <v>23</v>
      </c>
    </row>
    <row r="18" spans="2:3" ht="27.75" customHeight="1">
      <c r="B18" s="16" t="s">
        <v>24</v>
      </c>
      <c r="C18" s="17" t="s">
        <v>25</v>
      </c>
    </row>
    <row r="19" spans="2:3" ht="27.75" customHeight="1"/>
    <row r="20" spans="2:3" ht="27.75" customHeight="1">
      <c r="B20" s="15" t="s">
        <v>26</v>
      </c>
    </row>
    <row r="21" spans="2:3" ht="27.75" customHeight="1">
      <c r="B21" s="18" t="s">
        <v>27</v>
      </c>
      <c r="C21" s="19" t="s">
        <v>28</v>
      </c>
    </row>
    <row r="22" spans="2:3">
      <c r="B22" s="17" t="s">
        <v>29</v>
      </c>
      <c r="C22" s="19" t="s">
        <v>30</v>
      </c>
    </row>
    <row r="23" spans="2:3">
      <c r="B23" s="20" t="s">
        <v>31</v>
      </c>
      <c r="C23" s="19" t="s">
        <v>32</v>
      </c>
    </row>
    <row r="24" spans="2:3">
      <c r="B24" s="21" t="s">
        <v>33</v>
      </c>
      <c r="C24" s="19" t="s">
        <v>34</v>
      </c>
    </row>
  </sheetData>
  <mergeCells count="2">
    <mergeCell ref="B2:D2"/>
    <mergeCell ref="B3:D3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  <pageSetUpPr fitToPage="1"/>
  </sheetPr>
  <dimension ref="B1:M31"/>
  <sheetViews>
    <sheetView zoomScaleNormal="100" workbookViewId="0">
      <pane ySplit="4" topLeftCell="A5" activePane="bottomLeft" state="frozen"/>
      <selection pane="bottomLeft" activeCell="B24" sqref="B24"/>
    </sheetView>
  </sheetViews>
  <sheetFormatPr defaultColWidth="8.7109375" defaultRowHeight="15"/>
  <cols>
    <col min="1" max="1" width="3" customWidth="1"/>
    <col min="2" max="2" width="34" customWidth="1"/>
    <col min="3" max="5" width="15" customWidth="1"/>
    <col min="6" max="6" width="3" customWidth="1"/>
    <col min="7" max="9" width="15" customWidth="1"/>
    <col min="10" max="10" width="3" customWidth="1"/>
    <col min="11" max="13" width="15" customWidth="1"/>
    <col min="14" max="14" width="3" customWidth="1"/>
  </cols>
  <sheetData>
    <row r="1" spans="2:13" ht="16.149999999999999" customHeight="1">
      <c r="B1" s="12" t="s">
        <v>35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2:13" ht="15" customHeight="1">
      <c r="B2" s="11" t="s">
        <v>36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ht="15" customHeight="1">
      <c r="C3" s="10" t="s">
        <v>37</v>
      </c>
      <c r="D3" s="10"/>
      <c r="E3" s="10"/>
      <c r="G3" s="9" t="s">
        <v>38</v>
      </c>
      <c r="H3" s="9"/>
      <c r="I3" s="9"/>
      <c r="K3" s="8" t="s">
        <v>39</v>
      </c>
      <c r="L3" s="8"/>
      <c r="M3" s="8"/>
    </row>
    <row r="4" spans="2:13">
      <c r="B4" s="22" t="s">
        <v>40</v>
      </c>
      <c r="C4" s="22" t="s">
        <v>41</v>
      </c>
      <c r="D4" s="22" t="s">
        <v>42</v>
      </c>
      <c r="E4" s="22" t="s">
        <v>43</v>
      </c>
      <c r="G4" s="22" t="s">
        <v>41</v>
      </c>
      <c r="H4" s="22" t="s">
        <v>42</v>
      </c>
      <c r="I4" s="22" t="s">
        <v>43</v>
      </c>
      <c r="K4" s="22" t="s">
        <v>41</v>
      </c>
      <c r="L4" s="22" t="s">
        <v>42</v>
      </c>
      <c r="M4" s="22" t="s">
        <v>43</v>
      </c>
    </row>
    <row r="5" spans="2:13" ht="15" customHeight="1">
      <c r="B5" s="7" t="s">
        <v>44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2:13">
      <c r="B6" s="23" t="s">
        <v>45</v>
      </c>
      <c r="C6" s="24">
        <v>1240</v>
      </c>
      <c r="D6" s="24">
        <v>1520</v>
      </c>
      <c r="E6" s="24">
        <v>1810</v>
      </c>
      <c r="G6" s="24">
        <v>8050</v>
      </c>
      <c r="H6" s="24">
        <v>10900</v>
      </c>
      <c r="I6" s="24">
        <v>13800</v>
      </c>
      <c r="K6" s="24">
        <v>28000</v>
      </c>
      <c r="L6" s="24">
        <v>32200</v>
      </c>
      <c r="M6" s="24">
        <v>40200</v>
      </c>
    </row>
    <row r="7" spans="2:13">
      <c r="B7" s="23" t="s">
        <v>46</v>
      </c>
      <c r="C7" s="24">
        <v>670</v>
      </c>
      <c r="D7" s="24">
        <v>810</v>
      </c>
      <c r="E7" s="24">
        <v>960</v>
      </c>
      <c r="G7" s="24">
        <v>4590</v>
      </c>
      <c r="H7" s="24">
        <v>6300</v>
      </c>
      <c r="I7" s="24">
        <v>7820</v>
      </c>
      <c r="K7" s="24">
        <v>19100</v>
      </c>
      <c r="L7" s="24">
        <v>22000</v>
      </c>
      <c r="M7" s="24">
        <v>28100</v>
      </c>
    </row>
    <row r="8" spans="2:13">
      <c r="B8" s="23" t="s">
        <v>47</v>
      </c>
      <c r="C8" s="25">
        <v>570</v>
      </c>
      <c r="D8" s="25">
        <v>710</v>
      </c>
      <c r="E8" s="25">
        <v>850</v>
      </c>
      <c r="G8" s="25">
        <v>3460</v>
      </c>
      <c r="H8" s="25">
        <v>4600</v>
      </c>
      <c r="I8" s="25">
        <v>5980</v>
      </c>
      <c r="K8" s="25">
        <v>8900</v>
      </c>
      <c r="L8" s="25">
        <v>10200</v>
      </c>
      <c r="M8" s="25">
        <v>12100</v>
      </c>
    </row>
    <row r="9" spans="2:13">
      <c r="B9" s="23" t="s">
        <v>48</v>
      </c>
      <c r="C9" s="24">
        <v>310</v>
      </c>
      <c r="D9" s="24">
        <v>395</v>
      </c>
      <c r="E9" s="24">
        <v>480</v>
      </c>
      <c r="G9" s="24">
        <v>920</v>
      </c>
      <c r="H9" s="24">
        <v>1350</v>
      </c>
      <c r="I9" s="24">
        <v>1740</v>
      </c>
      <c r="K9" s="24">
        <v>4800</v>
      </c>
      <c r="L9" s="24">
        <v>5700</v>
      </c>
      <c r="M9" s="24">
        <v>7400</v>
      </c>
    </row>
    <row r="10" spans="2:13">
      <c r="B10" s="23" t="s">
        <v>49</v>
      </c>
      <c r="C10" s="24">
        <v>45</v>
      </c>
      <c r="D10" s="24">
        <v>52</v>
      </c>
      <c r="E10" s="24">
        <v>60</v>
      </c>
      <c r="G10" s="24">
        <v>210</v>
      </c>
      <c r="H10" s="24">
        <v>280</v>
      </c>
      <c r="I10" s="24">
        <v>360</v>
      </c>
      <c r="K10" s="24">
        <v>520</v>
      </c>
      <c r="L10" s="24">
        <v>620</v>
      </c>
      <c r="M10" s="24">
        <v>780</v>
      </c>
    </row>
    <row r="11" spans="2:13">
      <c r="B11" s="23" t="s">
        <v>50</v>
      </c>
      <c r="C11" s="25">
        <v>265</v>
      </c>
      <c r="D11" s="25">
        <v>343</v>
      </c>
      <c r="E11" s="25">
        <v>420</v>
      </c>
      <c r="G11" s="25">
        <v>710</v>
      </c>
      <c r="H11" s="25">
        <v>1070</v>
      </c>
      <c r="I11" s="25">
        <v>1380</v>
      </c>
      <c r="K11" s="25">
        <v>4280</v>
      </c>
      <c r="L11" s="25">
        <v>5080</v>
      </c>
      <c r="M11" s="25">
        <v>6620</v>
      </c>
    </row>
    <row r="12" spans="2:13">
      <c r="B12" s="23" t="s">
        <v>51</v>
      </c>
      <c r="C12" s="24">
        <v>18</v>
      </c>
      <c r="D12" s="24">
        <v>20</v>
      </c>
      <c r="E12" s="24">
        <v>22</v>
      </c>
      <c r="G12" s="24">
        <v>95</v>
      </c>
      <c r="H12" s="24">
        <v>120</v>
      </c>
      <c r="I12" s="24">
        <v>145</v>
      </c>
      <c r="K12" s="24">
        <v>210</v>
      </c>
      <c r="L12" s="24">
        <v>250</v>
      </c>
      <c r="M12" s="24">
        <v>290</v>
      </c>
    </row>
    <row r="13" spans="2:13">
      <c r="B13" s="23" t="s">
        <v>52</v>
      </c>
      <c r="C13" s="25">
        <v>247</v>
      </c>
      <c r="D13" s="25">
        <v>323</v>
      </c>
      <c r="E13" s="25">
        <v>398</v>
      </c>
      <c r="G13" s="25">
        <v>615</v>
      </c>
      <c r="H13" s="25">
        <v>950</v>
      </c>
      <c r="I13" s="25">
        <v>1235</v>
      </c>
      <c r="K13" s="25">
        <v>4070</v>
      </c>
      <c r="L13" s="25">
        <v>4830</v>
      </c>
      <c r="M13" s="25">
        <v>6330</v>
      </c>
    </row>
    <row r="14" spans="2:13">
      <c r="B14" s="23" t="s">
        <v>53</v>
      </c>
      <c r="C14" s="24">
        <v>72</v>
      </c>
      <c r="D14" s="24">
        <v>88</v>
      </c>
      <c r="E14" s="24">
        <v>110</v>
      </c>
      <c r="G14" s="24">
        <v>190</v>
      </c>
      <c r="H14" s="24">
        <v>252</v>
      </c>
      <c r="I14" s="24">
        <v>340</v>
      </c>
      <c r="K14" s="24">
        <v>980</v>
      </c>
      <c r="L14" s="24">
        <v>1150</v>
      </c>
      <c r="M14" s="24">
        <v>1490</v>
      </c>
    </row>
    <row r="15" spans="2:13">
      <c r="B15" s="23" t="s">
        <v>54</v>
      </c>
      <c r="C15" s="24">
        <v>175</v>
      </c>
      <c r="D15" s="24">
        <v>235</v>
      </c>
      <c r="E15" s="24">
        <v>295</v>
      </c>
      <c r="G15" s="24">
        <v>425</v>
      </c>
      <c r="H15" s="24">
        <v>678</v>
      </c>
      <c r="I15" s="24">
        <v>1010</v>
      </c>
      <c r="K15" s="24">
        <v>2590</v>
      </c>
      <c r="L15" s="24">
        <v>3100</v>
      </c>
      <c r="M15" s="24">
        <v>3930</v>
      </c>
    </row>
    <row r="17" spans="2:13" ht="15" customHeight="1">
      <c r="B17" s="7" t="s">
        <v>55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>
      <c r="B18" s="23" t="s">
        <v>56</v>
      </c>
      <c r="C18" s="24">
        <v>620</v>
      </c>
      <c r="D18" s="24">
        <v>710</v>
      </c>
      <c r="E18" s="24">
        <v>860</v>
      </c>
      <c r="G18" s="24">
        <v>2100</v>
      </c>
      <c r="H18" s="24">
        <v>2900</v>
      </c>
      <c r="I18" s="24">
        <v>3700</v>
      </c>
      <c r="K18" s="24">
        <v>9500</v>
      </c>
      <c r="L18" s="24">
        <v>11200</v>
      </c>
      <c r="M18" s="24">
        <v>13800</v>
      </c>
    </row>
    <row r="19" spans="2:13">
      <c r="B19" s="23" t="s">
        <v>57</v>
      </c>
      <c r="C19" s="24">
        <v>1450</v>
      </c>
      <c r="D19" s="24">
        <v>1680</v>
      </c>
      <c r="E19" s="24">
        <v>1920</v>
      </c>
      <c r="G19" s="24">
        <v>7200</v>
      </c>
      <c r="H19" s="24">
        <v>9600</v>
      </c>
      <c r="I19" s="24">
        <v>12800</v>
      </c>
      <c r="K19" s="24">
        <v>28000</v>
      </c>
      <c r="L19" s="24">
        <v>33000</v>
      </c>
      <c r="M19" s="24">
        <v>41000</v>
      </c>
    </row>
    <row r="20" spans="2:13">
      <c r="B20" s="23" t="s">
        <v>58</v>
      </c>
      <c r="C20" s="24">
        <v>380</v>
      </c>
      <c r="D20" s="24">
        <v>430</v>
      </c>
      <c r="E20" s="24">
        <v>510</v>
      </c>
      <c r="G20" s="24">
        <v>1600</v>
      </c>
      <c r="H20" s="24">
        <v>2100</v>
      </c>
      <c r="I20" s="24">
        <v>2700</v>
      </c>
      <c r="K20" s="24">
        <v>7200</v>
      </c>
      <c r="L20" s="24">
        <v>8400</v>
      </c>
      <c r="M20" s="24">
        <v>10500</v>
      </c>
    </row>
    <row r="21" spans="2:13">
      <c r="B21" s="23" t="s">
        <v>59</v>
      </c>
      <c r="C21" s="24">
        <v>120</v>
      </c>
      <c r="D21" s="24">
        <v>110</v>
      </c>
      <c r="E21" s="24">
        <v>95</v>
      </c>
      <c r="G21" s="24">
        <v>1200</v>
      </c>
      <c r="H21" s="24">
        <v>1500</v>
      </c>
      <c r="I21" s="24">
        <v>1800</v>
      </c>
      <c r="K21" s="24">
        <v>2800</v>
      </c>
      <c r="L21" s="24">
        <v>3100</v>
      </c>
      <c r="M21" s="24">
        <v>3600</v>
      </c>
    </row>
    <row r="22" spans="2:13">
      <c r="B22" s="23" t="s">
        <v>60</v>
      </c>
      <c r="C22" s="24">
        <v>620</v>
      </c>
      <c r="D22" s="24">
        <v>690</v>
      </c>
      <c r="E22" s="24">
        <v>780</v>
      </c>
      <c r="G22" s="24">
        <v>3800</v>
      </c>
      <c r="H22" s="24">
        <v>5000</v>
      </c>
      <c r="I22" s="24">
        <v>6500</v>
      </c>
      <c r="K22" s="24">
        <v>14000</v>
      </c>
      <c r="L22" s="24">
        <v>16500</v>
      </c>
      <c r="M22" s="24">
        <v>20500</v>
      </c>
    </row>
    <row r="23" spans="2:13">
      <c r="B23" s="23" t="s">
        <v>61</v>
      </c>
      <c r="C23" s="24">
        <v>830</v>
      </c>
      <c r="D23" s="24">
        <v>990</v>
      </c>
      <c r="E23" s="24">
        <v>1140</v>
      </c>
      <c r="G23" s="24">
        <v>3400</v>
      </c>
      <c r="H23" s="24">
        <v>4600</v>
      </c>
      <c r="I23" s="24">
        <v>6300</v>
      </c>
      <c r="K23" s="24">
        <v>14000</v>
      </c>
      <c r="L23" s="24">
        <v>16500</v>
      </c>
      <c r="M23" s="24">
        <v>20500</v>
      </c>
    </row>
    <row r="24" spans="2:13">
      <c r="B24" s="23" t="s">
        <v>62</v>
      </c>
      <c r="C24" s="24">
        <v>280</v>
      </c>
      <c r="D24" s="24">
        <v>310</v>
      </c>
      <c r="E24" s="24">
        <v>370</v>
      </c>
      <c r="G24" s="24">
        <v>950</v>
      </c>
      <c r="H24" s="24">
        <v>1280</v>
      </c>
      <c r="I24" s="24">
        <v>1580</v>
      </c>
      <c r="K24" s="24">
        <v>4800</v>
      </c>
      <c r="L24" s="24">
        <v>5700</v>
      </c>
      <c r="M24" s="24">
        <v>7100</v>
      </c>
    </row>
    <row r="25" spans="2:13">
      <c r="B25" s="23" t="s">
        <v>63</v>
      </c>
      <c r="C25" s="24">
        <v>85</v>
      </c>
      <c r="D25" s="24">
        <v>100</v>
      </c>
      <c r="E25" s="24">
        <v>120</v>
      </c>
      <c r="G25" s="24">
        <v>420</v>
      </c>
      <c r="H25" s="24">
        <v>560</v>
      </c>
      <c r="I25" s="24">
        <v>680</v>
      </c>
      <c r="K25" s="24">
        <v>1400</v>
      </c>
      <c r="L25" s="24">
        <v>1650</v>
      </c>
      <c r="M25" s="24">
        <v>2000</v>
      </c>
    </row>
    <row r="26" spans="2:13">
      <c r="B26" s="23" t="s">
        <v>64</v>
      </c>
      <c r="C26" s="24">
        <v>195</v>
      </c>
      <c r="D26" s="24">
        <v>240</v>
      </c>
      <c r="E26" s="24">
        <v>310</v>
      </c>
      <c r="G26" s="24">
        <v>680</v>
      </c>
      <c r="H26" s="24">
        <v>920</v>
      </c>
      <c r="I26" s="24">
        <v>1350</v>
      </c>
      <c r="K26" s="24">
        <v>3200</v>
      </c>
      <c r="L26" s="24">
        <v>4100</v>
      </c>
      <c r="M26" s="24">
        <v>5200</v>
      </c>
    </row>
    <row r="28" spans="2:13" ht="15" customHeight="1">
      <c r="B28" s="7" t="s">
        <v>65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2:13">
      <c r="B29" s="23" t="s">
        <v>66</v>
      </c>
      <c r="C29" s="24">
        <v>220</v>
      </c>
      <c r="D29" s="24">
        <v>290</v>
      </c>
      <c r="E29" s="24">
        <v>365</v>
      </c>
      <c r="G29" s="24">
        <v>780</v>
      </c>
      <c r="H29" s="24">
        <v>1050</v>
      </c>
      <c r="I29" s="24">
        <v>1420</v>
      </c>
      <c r="K29" s="24">
        <v>4100</v>
      </c>
      <c r="L29" s="24">
        <v>5000</v>
      </c>
      <c r="M29" s="24">
        <v>6500</v>
      </c>
    </row>
    <row r="30" spans="2:13">
      <c r="B30" s="23" t="s">
        <v>67</v>
      </c>
      <c r="C30" s="24">
        <v>80</v>
      </c>
      <c r="D30" s="24">
        <v>95</v>
      </c>
      <c r="E30" s="24">
        <v>110</v>
      </c>
      <c r="G30" s="24">
        <v>380</v>
      </c>
      <c r="H30" s="24">
        <v>520</v>
      </c>
      <c r="I30" s="24">
        <v>680</v>
      </c>
      <c r="K30" s="24">
        <v>900</v>
      </c>
      <c r="L30" s="24">
        <v>1100</v>
      </c>
      <c r="M30" s="24">
        <v>1400</v>
      </c>
    </row>
    <row r="31" spans="2:13">
      <c r="B31" s="23" t="s">
        <v>68</v>
      </c>
      <c r="C31" s="25">
        <v>140</v>
      </c>
      <c r="D31" s="25">
        <v>195</v>
      </c>
      <c r="E31" s="25">
        <v>255</v>
      </c>
      <c r="G31" s="25">
        <v>400</v>
      </c>
      <c r="H31" s="25">
        <v>530</v>
      </c>
      <c r="I31" s="25">
        <v>740</v>
      </c>
      <c r="K31" s="25">
        <v>3200</v>
      </c>
      <c r="L31" s="25">
        <v>3900</v>
      </c>
      <c r="M31" s="25">
        <v>5100</v>
      </c>
    </row>
  </sheetData>
  <mergeCells count="8">
    <mergeCell ref="B5:M5"/>
    <mergeCell ref="B17:M17"/>
    <mergeCell ref="B28:M28"/>
    <mergeCell ref="B1:M1"/>
    <mergeCell ref="B2:M2"/>
    <mergeCell ref="C3:E3"/>
    <mergeCell ref="G3:I3"/>
    <mergeCell ref="K3:M3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  <pageSetUpPr fitToPage="1"/>
  </sheetPr>
  <dimension ref="B1:O2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" customWidth="1"/>
    <col min="2" max="2" width="34" customWidth="1"/>
    <col min="3" max="5" width="14" customWidth="1"/>
    <col min="6" max="6" width="3" customWidth="1"/>
    <col min="7" max="9" width="14" customWidth="1"/>
    <col min="10" max="10" width="3" customWidth="1"/>
    <col min="11" max="13" width="14" customWidth="1"/>
    <col min="14" max="14" width="3" customWidth="1"/>
    <col min="15" max="15" width="22" customWidth="1"/>
  </cols>
  <sheetData>
    <row r="1" spans="2:15" ht="16.149999999999999" customHeight="1">
      <c r="B1" s="12" t="s">
        <v>69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2:15" ht="15" customHeight="1">
      <c r="B2" s="11" t="s">
        <v>70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5" ht="15" customHeight="1">
      <c r="C3" s="10" t="s">
        <v>71</v>
      </c>
      <c r="D3" s="10"/>
      <c r="E3" s="10"/>
      <c r="G3" s="9" t="s">
        <v>72</v>
      </c>
      <c r="H3" s="9"/>
      <c r="I3" s="9"/>
      <c r="K3" s="8" t="s">
        <v>73</v>
      </c>
      <c r="L3" s="8"/>
      <c r="M3" s="8"/>
    </row>
    <row r="4" spans="2:15">
      <c r="B4" s="22" t="s">
        <v>74</v>
      </c>
      <c r="C4" s="22" t="s">
        <v>75</v>
      </c>
      <c r="D4" s="22" t="s">
        <v>76</v>
      </c>
      <c r="E4" s="22" t="s">
        <v>77</v>
      </c>
      <c r="G4" s="22" t="s">
        <v>75</v>
      </c>
      <c r="H4" s="22" t="s">
        <v>76</v>
      </c>
      <c r="I4" s="22" t="s">
        <v>77</v>
      </c>
      <c r="K4" s="22" t="s">
        <v>75</v>
      </c>
      <c r="L4" s="22" t="s">
        <v>76</v>
      </c>
      <c r="M4" s="22" t="s">
        <v>77</v>
      </c>
      <c r="O4" s="22" t="s">
        <v>78</v>
      </c>
    </row>
    <row r="5" spans="2:15" ht="15" customHeight="1">
      <c r="B5" s="7" t="s">
        <v>79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2:15" ht="19.350000000000001">
      <c r="B6" s="23" t="s">
        <v>80</v>
      </c>
      <c r="C6" s="26">
        <v>1.6315999999999999</v>
      </c>
      <c r="D6" s="26">
        <v>1.6512</v>
      </c>
      <c r="E6" s="26">
        <v>1.6862999999999999</v>
      </c>
      <c r="G6" s="26">
        <v>1.3125</v>
      </c>
      <c r="H6" s="26">
        <v>1.381</v>
      </c>
      <c r="I6" s="26">
        <v>1.3704000000000001</v>
      </c>
      <c r="K6" s="26">
        <v>1.3193999999999999</v>
      </c>
      <c r="L6" s="26">
        <v>1.3332999999999999</v>
      </c>
      <c r="M6" s="26">
        <v>1.3143</v>
      </c>
      <c r="O6" s="27" t="s">
        <v>81</v>
      </c>
    </row>
    <row r="7" spans="2:15" ht="19.350000000000001">
      <c r="B7" s="23" t="s">
        <v>82</v>
      </c>
      <c r="C7" s="26">
        <v>0.89470000000000005</v>
      </c>
      <c r="D7" s="26">
        <v>0.93020000000000003</v>
      </c>
      <c r="E7" s="26">
        <v>0.96079999999999999</v>
      </c>
      <c r="G7" s="26">
        <v>0.71879999999999999</v>
      </c>
      <c r="H7" s="26">
        <v>0.77139999999999997</v>
      </c>
      <c r="I7" s="26">
        <v>0.78520000000000001</v>
      </c>
      <c r="K7" s="26">
        <v>0.65280000000000005</v>
      </c>
      <c r="L7" s="26">
        <v>0.65480000000000005</v>
      </c>
      <c r="M7" s="26">
        <v>0.6381</v>
      </c>
      <c r="O7" s="27" t="s">
        <v>83</v>
      </c>
    </row>
    <row r="8" spans="2:15">
      <c r="B8" s="23" t="s">
        <v>84</v>
      </c>
      <c r="C8" s="26">
        <v>0.51319999999999999</v>
      </c>
      <c r="D8" s="26">
        <v>0.55810000000000004</v>
      </c>
      <c r="E8" s="26">
        <v>0.60780000000000001</v>
      </c>
      <c r="G8" s="26">
        <v>0.42499999999999999</v>
      </c>
      <c r="H8" s="26">
        <v>0.43809999999999999</v>
      </c>
      <c r="I8" s="26">
        <v>0.5</v>
      </c>
      <c r="K8" s="26">
        <v>0.44440000000000002</v>
      </c>
      <c r="L8" s="26">
        <v>0.48809999999999998</v>
      </c>
      <c r="M8" s="26">
        <v>0.49519999999999997</v>
      </c>
      <c r="O8" s="27" t="s">
        <v>85</v>
      </c>
    </row>
    <row r="10" spans="2:15" ht="15" customHeight="1">
      <c r="B10" s="7" t="s">
        <v>86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2:15" ht="19.350000000000001">
      <c r="B11" s="23" t="s">
        <v>87</v>
      </c>
      <c r="C11" s="28">
        <v>0.14460000000000001</v>
      </c>
      <c r="D11" s="28">
        <v>0.1111</v>
      </c>
      <c r="E11" s="28">
        <v>8.3299999999999999E-2</v>
      </c>
      <c r="G11" s="28">
        <v>0.35289999999999999</v>
      </c>
      <c r="H11" s="28">
        <v>0.3261</v>
      </c>
      <c r="I11" s="28">
        <v>0.28570000000000001</v>
      </c>
      <c r="K11" s="28">
        <v>0.2</v>
      </c>
      <c r="L11" s="28">
        <v>0.18790000000000001</v>
      </c>
      <c r="M11" s="28">
        <v>0.17560000000000001</v>
      </c>
      <c r="O11" s="27" t="s">
        <v>88</v>
      </c>
    </row>
    <row r="12" spans="2:15" ht="19.350000000000001">
      <c r="B12" s="23" t="s">
        <v>89</v>
      </c>
      <c r="C12" s="29">
        <v>8.2799999999999999E-2</v>
      </c>
      <c r="D12" s="29">
        <v>6.5500000000000003E-2</v>
      </c>
      <c r="E12" s="29">
        <v>4.9500000000000002E-2</v>
      </c>
      <c r="G12" s="29">
        <v>0.16669999999999999</v>
      </c>
      <c r="H12" s="29">
        <v>0.15620000000000001</v>
      </c>
      <c r="I12" s="29">
        <v>0.1406</v>
      </c>
      <c r="K12" s="29">
        <v>0.1</v>
      </c>
      <c r="L12" s="29">
        <v>9.3899999999999997E-2</v>
      </c>
      <c r="M12" s="29">
        <v>8.7800000000000003E-2</v>
      </c>
      <c r="O12" s="27" t="s">
        <v>90</v>
      </c>
    </row>
    <row r="13" spans="2:15" ht="19.350000000000001">
      <c r="B13" s="23" t="s">
        <v>91</v>
      </c>
      <c r="C13" s="30">
        <v>14.722200000000001</v>
      </c>
      <c r="D13" s="30">
        <v>17.149999999999999</v>
      </c>
      <c r="E13" s="30">
        <v>19.090900000000001</v>
      </c>
      <c r="G13" s="30">
        <v>7.4737</v>
      </c>
      <c r="H13" s="30">
        <v>8.9167000000000005</v>
      </c>
      <c r="I13" s="30">
        <v>9.5172000000000008</v>
      </c>
      <c r="K13" s="30">
        <v>20.381</v>
      </c>
      <c r="L13" s="30">
        <v>20.32</v>
      </c>
      <c r="M13" s="30">
        <v>22.8276</v>
      </c>
      <c r="O13" s="27" t="s">
        <v>92</v>
      </c>
    </row>
    <row r="14" spans="2:15" ht="19.350000000000001">
      <c r="B14" s="23" t="s">
        <v>93</v>
      </c>
      <c r="C14" s="28">
        <v>1.7470000000000001</v>
      </c>
      <c r="D14" s="28">
        <v>1.6970000000000001</v>
      </c>
      <c r="E14" s="28">
        <v>1.6841999999999999</v>
      </c>
      <c r="G14" s="28">
        <v>2.1175999999999999</v>
      </c>
      <c r="H14" s="28">
        <v>2.0870000000000002</v>
      </c>
      <c r="I14" s="28">
        <v>2.0316999999999998</v>
      </c>
      <c r="K14" s="28">
        <v>2</v>
      </c>
      <c r="L14" s="28">
        <v>2</v>
      </c>
      <c r="M14" s="28">
        <v>2</v>
      </c>
      <c r="O14" s="27" t="s">
        <v>94</v>
      </c>
    </row>
    <row r="16" spans="2:15" ht="15" customHeight="1">
      <c r="B16" s="7" t="s">
        <v>95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2:15">
      <c r="B17" s="23" t="s">
        <v>96</v>
      </c>
      <c r="C17" s="29">
        <v>0.4597</v>
      </c>
      <c r="D17" s="29">
        <v>0.46710000000000002</v>
      </c>
      <c r="E17" s="29">
        <v>0.46960000000000002</v>
      </c>
      <c r="G17" s="29">
        <v>0.42980000000000002</v>
      </c>
      <c r="H17" s="29">
        <v>0.42199999999999999</v>
      </c>
      <c r="I17" s="29">
        <v>0.43330000000000002</v>
      </c>
      <c r="K17" s="29">
        <v>0.31790000000000002</v>
      </c>
      <c r="L17" s="29">
        <v>0.31680000000000003</v>
      </c>
      <c r="M17" s="29">
        <v>0.30099999999999999</v>
      </c>
      <c r="O17" s="27" t="s">
        <v>97</v>
      </c>
    </row>
    <row r="18" spans="2:15" ht="19.350000000000001">
      <c r="B18" s="23" t="s">
        <v>98</v>
      </c>
      <c r="C18" s="29">
        <v>0.25</v>
      </c>
      <c r="D18" s="29">
        <v>0.25990000000000002</v>
      </c>
      <c r="E18" s="29">
        <v>0.26519999999999999</v>
      </c>
      <c r="G18" s="29">
        <v>0.1143</v>
      </c>
      <c r="H18" s="29">
        <v>0.1239</v>
      </c>
      <c r="I18" s="29">
        <v>0.12609999999999999</v>
      </c>
      <c r="K18" s="29">
        <v>0.1714</v>
      </c>
      <c r="L18" s="29">
        <v>0.17699999999999999</v>
      </c>
      <c r="M18" s="29">
        <v>0.18410000000000001</v>
      </c>
      <c r="O18" s="27" t="s">
        <v>99</v>
      </c>
    </row>
    <row r="19" spans="2:15">
      <c r="B19" s="23" t="s">
        <v>100</v>
      </c>
      <c r="C19" s="29">
        <v>0.1411</v>
      </c>
      <c r="D19" s="29">
        <v>0.15459999999999999</v>
      </c>
      <c r="E19" s="29">
        <v>0.16300000000000001</v>
      </c>
      <c r="G19" s="29">
        <v>5.28E-2</v>
      </c>
      <c r="H19" s="29">
        <v>6.2199999999999998E-2</v>
      </c>
      <c r="I19" s="29">
        <v>7.3200000000000001E-2</v>
      </c>
      <c r="K19" s="29">
        <v>9.2499999999999999E-2</v>
      </c>
      <c r="L19" s="29">
        <v>9.6299999999999997E-2</v>
      </c>
      <c r="M19" s="29">
        <v>9.7799999999999998E-2</v>
      </c>
      <c r="O19" s="27" t="s">
        <v>101</v>
      </c>
    </row>
    <row r="20" spans="2:15" ht="19.350000000000001">
      <c r="B20" s="23" t="s">
        <v>102</v>
      </c>
      <c r="C20" s="29">
        <v>0.21079999999999999</v>
      </c>
      <c r="D20" s="29">
        <v>0.2374</v>
      </c>
      <c r="E20" s="29">
        <v>0.25879999999999997</v>
      </c>
      <c r="G20" s="29">
        <v>0.125</v>
      </c>
      <c r="H20" s="29">
        <v>0.1474</v>
      </c>
      <c r="I20" s="29">
        <v>0.1603</v>
      </c>
      <c r="K20" s="29">
        <v>0.185</v>
      </c>
      <c r="L20" s="29">
        <v>0.18790000000000001</v>
      </c>
      <c r="M20" s="29">
        <v>0.19170000000000001</v>
      </c>
      <c r="O20" s="27" t="s">
        <v>103</v>
      </c>
    </row>
    <row r="21" spans="2:15">
      <c r="B21" s="23" t="s">
        <v>104</v>
      </c>
      <c r="C21" s="29">
        <v>0.1207</v>
      </c>
      <c r="D21" s="29">
        <v>0.1399</v>
      </c>
      <c r="E21" s="29">
        <v>0.15359999999999999</v>
      </c>
      <c r="G21" s="29">
        <v>5.8999999999999997E-2</v>
      </c>
      <c r="H21" s="29">
        <v>7.0599999999999996E-2</v>
      </c>
      <c r="I21" s="29">
        <v>7.8899999999999998E-2</v>
      </c>
      <c r="K21" s="29">
        <v>9.2499999999999999E-2</v>
      </c>
      <c r="L21" s="29">
        <v>9.3899999999999997E-2</v>
      </c>
      <c r="M21" s="29">
        <v>9.5899999999999999E-2</v>
      </c>
      <c r="O21" s="27" t="s">
        <v>105</v>
      </c>
    </row>
    <row r="23" spans="2:15" ht="15" customHeight="1">
      <c r="B23" s="7" t="s">
        <v>106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2:15" ht="19.350000000000001">
      <c r="B24" s="23" t="s">
        <v>107</v>
      </c>
      <c r="C24" s="28">
        <v>0.85519999999999996</v>
      </c>
      <c r="D24" s="28">
        <v>0.90480000000000005</v>
      </c>
      <c r="E24" s="28">
        <v>0.94269999999999998</v>
      </c>
      <c r="G24" s="28">
        <v>1.1181000000000001</v>
      </c>
      <c r="H24" s="28">
        <v>1.1354</v>
      </c>
      <c r="I24" s="28">
        <v>1.0781000000000001</v>
      </c>
      <c r="K24" s="28">
        <v>1</v>
      </c>
      <c r="L24" s="28">
        <v>0.9758</v>
      </c>
      <c r="M24" s="28">
        <v>0.98050000000000004</v>
      </c>
      <c r="O24" s="27" t="s">
        <v>108</v>
      </c>
    </row>
    <row r="25" spans="2:15" ht="19.350000000000001">
      <c r="B25" s="23" t="s">
        <v>109</v>
      </c>
      <c r="C25" s="30">
        <v>2.3929</v>
      </c>
      <c r="D25" s="30">
        <v>2.6128999999999998</v>
      </c>
      <c r="E25" s="30">
        <v>2.5945999999999998</v>
      </c>
      <c r="G25" s="30">
        <v>4.8315999999999999</v>
      </c>
      <c r="H25" s="30">
        <v>4.9218999999999999</v>
      </c>
      <c r="I25" s="30">
        <v>4.9493999999999998</v>
      </c>
      <c r="K25" s="30">
        <v>3.9792000000000001</v>
      </c>
      <c r="L25" s="30">
        <v>3.8595999999999999</v>
      </c>
      <c r="M25" s="30">
        <v>3.9577</v>
      </c>
      <c r="O25" s="27" t="s">
        <v>110</v>
      </c>
    </row>
    <row r="26" spans="2:15" ht="19.350000000000001">
      <c r="B26" s="23" t="s">
        <v>111</v>
      </c>
      <c r="C26" s="29">
        <v>0.1129</v>
      </c>
      <c r="D26" s="29">
        <v>0.1283</v>
      </c>
      <c r="E26" s="29">
        <v>0.1409</v>
      </c>
      <c r="G26" s="29">
        <v>4.9700000000000001E-2</v>
      </c>
      <c r="H26" s="29">
        <v>4.8599999999999997E-2</v>
      </c>
      <c r="I26" s="29">
        <v>5.3600000000000002E-2</v>
      </c>
      <c r="K26" s="29">
        <v>0.1143</v>
      </c>
      <c r="L26" s="29">
        <v>0.1211</v>
      </c>
      <c r="M26" s="29">
        <v>0.12690000000000001</v>
      </c>
      <c r="O26" s="27" t="s">
        <v>112</v>
      </c>
    </row>
  </sheetData>
  <mergeCells count="9">
    <mergeCell ref="B5:O5"/>
    <mergeCell ref="B10:O10"/>
    <mergeCell ref="B16:O16"/>
    <mergeCell ref="B23:O23"/>
    <mergeCell ref="B1:M1"/>
    <mergeCell ref="B2:M2"/>
    <mergeCell ref="C3:E3"/>
    <mergeCell ref="G3:I3"/>
    <mergeCell ref="K3:M3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7A4A"/>
    <pageSetUpPr fitToPage="1"/>
  </sheetPr>
  <dimension ref="B1:G28"/>
  <sheetViews>
    <sheetView tabSelected="1" zoomScaleNormal="100" workbookViewId="0">
      <pane ySplit="3" topLeftCell="A9" activePane="bottomLeft" state="frozen"/>
      <selection pane="bottomLeft" activeCell="J16" sqref="J16"/>
    </sheetView>
  </sheetViews>
  <sheetFormatPr defaultColWidth="8.7109375" defaultRowHeight="15"/>
  <cols>
    <col min="1" max="1" width="3" customWidth="1"/>
    <col min="2" max="2" width="32" customWidth="1"/>
    <col min="3" max="5" width="16" customWidth="1"/>
    <col min="6" max="6" width="18" customWidth="1"/>
    <col min="7" max="7" width="22" customWidth="1"/>
    <col min="8" max="8" width="3" customWidth="1"/>
  </cols>
  <sheetData>
    <row r="1" spans="2:7" ht="16.149999999999999" customHeight="1">
      <c r="B1" s="12" t="s">
        <v>113</v>
      </c>
      <c r="C1" s="12"/>
      <c r="D1" s="12"/>
      <c r="E1" s="12"/>
      <c r="F1" s="12"/>
      <c r="G1" s="12"/>
    </row>
    <row r="2" spans="2:7" ht="15" customHeight="1">
      <c r="B2" s="11" t="s">
        <v>114</v>
      </c>
      <c r="C2" s="11"/>
      <c r="D2" s="11"/>
      <c r="E2" s="11"/>
      <c r="F2" s="11"/>
      <c r="G2" s="11"/>
    </row>
    <row r="3" spans="2:7">
      <c r="B3" s="22" t="s">
        <v>115</v>
      </c>
      <c r="C3" s="22" t="s">
        <v>116</v>
      </c>
      <c r="D3" s="22" t="s">
        <v>117</v>
      </c>
      <c r="E3" s="22" t="s">
        <v>118</v>
      </c>
      <c r="F3" s="22" t="s">
        <v>119</v>
      </c>
      <c r="G3" s="22" t="s">
        <v>120</v>
      </c>
    </row>
    <row r="4" spans="2:7" ht="19.350000000000001">
      <c r="B4" s="23" t="s">
        <v>80</v>
      </c>
      <c r="C4" s="31">
        <v>1.69</v>
      </c>
      <c r="D4" s="32">
        <v>1.37</v>
      </c>
      <c r="E4" s="33">
        <v>1.31</v>
      </c>
      <c r="F4" s="34" t="s">
        <v>116</v>
      </c>
      <c r="G4" s="35" t="s">
        <v>121</v>
      </c>
    </row>
    <row r="5" spans="2:7" ht="19.350000000000001">
      <c r="B5" s="36" t="s">
        <v>82</v>
      </c>
      <c r="C5" s="31">
        <v>0.96</v>
      </c>
      <c r="D5" s="32">
        <v>0.8</v>
      </c>
      <c r="E5" s="33">
        <v>0.64</v>
      </c>
      <c r="F5" s="34" t="s">
        <v>116</v>
      </c>
      <c r="G5" s="35" t="s">
        <v>122</v>
      </c>
    </row>
    <row r="6" spans="2:7" ht="19.350000000000001">
      <c r="B6" s="23" t="s">
        <v>123</v>
      </c>
      <c r="C6" s="37">
        <v>0.08</v>
      </c>
      <c r="D6" s="38">
        <v>0.28999999999999998</v>
      </c>
      <c r="E6" s="39">
        <v>0.18</v>
      </c>
      <c r="F6" s="34" t="s">
        <v>116</v>
      </c>
      <c r="G6" s="35" t="s">
        <v>124</v>
      </c>
    </row>
    <row r="7" spans="2:7" ht="19.350000000000001">
      <c r="B7" s="36" t="s">
        <v>125</v>
      </c>
      <c r="C7" s="40">
        <v>19.100000000000001</v>
      </c>
      <c r="D7" s="41">
        <v>9.6999999999999993</v>
      </c>
      <c r="E7" s="42">
        <v>22.9</v>
      </c>
      <c r="F7" s="34" t="s">
        <v>118</v>
      </c>
      <c r="G7" s="35" t="s">
        <v>126</v>
      </c>
    </row>
    <row r="8" spans="2:7" ht="19.350000000000001">
      <c r="B8" s="23" t="s">
        <v>96</v>
      </c>
      <c r="C8" s="43">
        <v>47</v>
      </c>
      <c r="D8" s="44">
        <v>43.3</v>
      </c>
      <c r="E8" s="45">
        <v>30.1</v>
      </c>
      <c r="F8" s="34" t="s">
        <v>116</v>
      </c>
      <c r="G8" s="35" t="s">
        <v>127</v>
      </c>
    </row>
    <row r="9" spans="2:7" ht="19.350000000000001">
      <c r="B9" s="36" t="s">
        <v>98</v>
      </c>
      <c r="C9" s="43">
        <v>26.5</v>
      </c>
      <c r="D9" s="45">
        <v>12.6</v>
      </c>
      <c r="E9" s="44">
        <v>18.399999999999999</v>
      </c>
      <c r="F9" s="34" t="s">
        <v>116</v>
      </c>
      <c r="G9" s="35" t="s">
        <v>128</v>
      </c>
    </row>
    <row r="10" spans="2:7" ht="19.350000000000001">
      <c r="B10" s="23" t="s">
        <v>100</v>
      </c>
      <c r="C10" s="43">
        <v>16.3</v>
      </c>
      <c r="D10" s="45">
        <v>7.3</v>
      </c>
      <c r="E10" s="44">
        <v>9.8000000000000007</v>
      </c>
      <c r="F10" s="34" t="s">
        <v>116</v>
      </c>
      <c r="G10" s="35" t="s">
        <v>129</v>
      </c>
    </row>
    <row r="11" spans="2:7" ht="20.25">
      <c r="B11" s="36" t="s">
        <v>130</v>
      </c>
      <c r="C11" s="43">
        <v>25.9</v>
      </c>
      <c r="D11" s="45">
        <v>16</v>
      </c>
      <c r="E11" s="44">
        <v>19.2</v>
      </c>
      <c r="F11" s="34" t="s">
        <v>116</v>
      </c>
      <c r="G11" s="35" t="s">
        <v>131</v>
      </c>
    </row>
    <row r="12" spans="2:7" ht="23.25">
      <c r="B12" s="23" t="s">
        <v>132</v>
      </c>
      <c r="C12" s="43">
        <v>15.4</v>
      </c>
      <c r="D12" s="45">
        <v>7.9</v>
      </c>
      <c r="E12" s="44">
        <v>9.6</v>
      </c>
      <c r="F12" s="34" t="s">
        <v>116</v>
      </c>
      <c r="G12" s="61" t="s">
        <v>133</v>
      </c>
    </row>
    <row r="13" spans="2:7" ht="23.25">
      <c r="B13" s="36" t="s">
        <v>107</v>
      </c>
      <c r="C13" s="37">
        <v>0.94</v>
      </c>
      <c r="D13" s="38">
        <v>1.08</v>
      </c>
      <c r="E13" s="39">
        <v>0.98</v>
      </c>
      <c r="F13" s="34" t="s">
        <v>117</v>
      </c>
      <c r="G13" s="61" t="s">
        <v>134</v>
      </c>
    </row>
    <row r="14" spans="2:7" ht="23.25">
      <c r="B14" s="23" t="s">
        <v>109</v>
      </c>
      <c r="C14" s="41">
        <v>2.59</v>
      </c>
      <c r="D14" s="42">
        <v>4.95</v>
      </c>
      <c r="E14" s="40">
        <v>3.96</v>
      </c>
      <c r="F14" s="34" t="s">
        <v>117</v>
      </c>
      <c r="G14" s="61" t="s">
        <v>135</v>
      </c>
    </row>
    <row r="15" spans="2:7" ht="23.25">
      <c r="B15" s="36" t="s">
        <v>111</v>
      </c>
      <c r="C15" s="43">
        <v>14.1</v>
      </c>
      <c r="D15" s="45">
        <v>5.4</v>
      </c>
      <c r="E15" s="44">
        <v>12.7</v>
      </c>
      <c r="F15" s="34" t="s">
        <v>116</v>
      </c>
      <c r="G15" s="61" t="s">
        <v>136</v>
      </c>
    </row>
    <row r="16" spans="2:7" ht="23.25">
      <c r="B16" s="23" t="s">
        <v>137</v>
      </c>
      <c r="C16" s="45">
        <v>19.100000000000001</v>
      </c>
      <c r="D16" s="43">
        <v>26.6</v>
      </c>
      <c r="E16" s="44">
        <v>24.8</v>
      </c>
      <c r="F16" s="34" t="s">
        <v>117</v>
      </c>
      <c r="G16" s="61" t="s">
        <v>138</v>
      </c>
    </row>
    <row r="17" spans="2:7" ht="19.350000000000001">
      <c r="B17" s="36" t="s">
        <v>139</v>
      </c>
      <c r="C17" s="45">
        <v>25.5</v>
      </c>
      <c r="D17" s="43">
        <v>48.9</v>
      </c>
      <c r="E17" s="44">
        <v>26.8</v>
      </c>
      <c r="F17" s="34" t="s">
        <v>117</v>
      </c>
      <c r="G17" s="35" t="s">
        <v>140</v>
      </c>
    </row>
    <row r="18" spans="2:7" ht="19.350000000000001">
      <c r="B18" s="23" t="s">
        <v>141</v>
      </c>
      <c r="C18" s="45">
        <v>4.9000000000000004</v>
      </c>
      <c r="D18" s="43">
        <v>14.1</v>
      </c>
      <c r="E18" s="44">
        <v>8.8000000000000007</v>
      </c>
      <c r="F18" s="34" t="s">
        <v>116</v>
      </c>
      <c r="G18" s="35" t="s">
        <v>142</v>
      </c>
    </row>
    <row r="20" spans="2:7" ht="15" customHeight="1">
      <c r="B20" s="6" t="s">
        <v>143</v>
      </c>
      <c r="C20" s="6"/>
      <c r="D20" s="6"/>
      <c r="E20" s="6"/>
      <c r="F20" s="6"/>
      <c r="G20" s="6"/>
    </row>
    <row r="21" spans="2:7">
      <c r="B21" s="46" t="s">
        <v>144</v>
      </c>
      <c r="C21" s="47">
        <v>32</v>
      </c>
      <c r="D21" s="48">
        <v>30</v>
      </c>
      <c r="E21" s="48">
        <v>28</v>
      </c>
    </row>
    <row r="23" spans="2:7" ht="16.149999999999999" customHeight="1">
      <c r="B23" s="12" t="s">
        <v>145</v>
      </c>
      <c r="C23" s="12"/>
      <c r="D23" s="12"/>
      <c r="E23" s="12"/>
      <c r="F23" s="12"/>
      <c r="G23" s="12"/>
    </row>
    <row r="24" spans="2:7" ht="19.350000000000001" customHeight="1">
      <c r="B24" s="49" t="s">
        <v>146</v>
      </c>
      <c r="C24" s="50" t="s">
        <v>147</v>
      </c>
      <c r="D24" s="5" t="s">
        <v>148</v>
      </c>
      <c r="E24" s="5"/>
      <c r="F24" s="5"/>
      <c r="G24" s="5"/>
    </row>
    <row r="25" spans="2:7" ht="15" customHeight="1">
      <c r="B25" s="49" t="s">
        <v>149</v>
      </c>
      <c r="C25" s="50" t="s">
        <v>150</v>
      </c>
      <c r="D25" s="5" t="s">
        <v>151</v>
      </c>
      <c r="E25" s="5"/>
      <c r="F25" s="5"/>
      <c r="G25" s="5"/>
    </row>
    <row r="26" spans="2:7" ht="15" customHeight="1">
      <c r="B26" s="49" t="s">
        <v>152</v>
      </c>
      <c r="C26" s="50" t="s">
        <v>150</v>
      </c>
      <c r="D26" s="5" t="s">
        <v>153</v>
      </c>
      <c r="E26" s="5"/>
      <c r="F26" s="5"/>
      <c r="G26" s="5"/>
    </row>
    <row r="27" spans="2:7" ht="15" customHeight="1">
      <c r="B27" s="49" t="s">
        <v>154</v>
      </c>
      <c r="C27" s="50" t="s">
        <v>116</v>
      </c>
      <c r="D27" s="5" t="s">
        <v>155</v>
      </c>
      <c r="E27" s="5"/>
      <c r="F27" s="5"/>
      <c r="G27" s="5"/>
    </row>
    <row r="28" spans="2:7" ht="15" customHeight="1">
      <c r="B28" s="49" t="s">
        <v>156</v>
      </c>
      <c r="C28" s="50" t="s">
        <v>157</v>
      </c>
      <c r="D28" s="5" t="s">
        <v>158</v>
      </c>
      <c r="E28" s="5"/>
      <c r="F28" s="5"/>
      <c r="G28" s="5"/>
    </row>
  </sheetData>
  <mergeCells count="9">
    <mergeCell ref="D25:G25"/>
    <mergeCell ref="D26:G26"/>
    <mergeCell ref="D27:G27"/>
    <mergeCell ref="D28:G28"/>
    <mergeCell ref="B1:G1"/>
    <mergeCell ref="B2:G2"/>
    <mergeCell ref="B20:G20"/>
    <mergeCell ref="B23:G23"/>
    <mergeCell ref="D24:G24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  <pageSetUpPr fitToPage="1"/>
  </sheetPr>
  <dimension ref="B1:J3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3" customWidth="1"/>
    <col min="2" max="2" width="22" customWidth="1"/>
    <col min="3" max="5" width="14" customWidth="1"/>
    <col min="6" max="6" width="3" customWidth="1"/>
    <col min="7" max="7" width="22" customWidth="1"/>
    <col min="8" max="10" width="14" customWidth="1"/>
    <col min="11" max="11" width="3" customWidth="1"/>
  </cols>
  <sheetData>
    <row r="1" spans="2:10" ht="16.149999999999999" customHeight="1">
      <c r="B1" s="12" t="s">
        <v>159</v>
      </c>
      <c r="C1" s="12"/>
      <c r="D1" s="12"/>
      <c r="E1" s="12"/>
      <c r="F1" s="12"/>
      <c r="G1" s="12"/>
      <c r="H1" s="12"/>
      <c r="I1" s="12"/>
      <c r="J1" s="12"/>
    </row>
    <row r="2" spans="2:10" ht="15" customHeight="1">
      <c r="B2" s="11" t="s">
        <v>160</v>
      </c>
      <c r="C2" s="11"/>
      <c r="D2" s="11"/>
      <c r="E2" s="11"/>
      <c r="F2" s="11"/>
      <c r="G2" s="11"/>
      <c r="H2" s="11"/>
      <c r="I2" s="11"/>
      <c r="J2" s="11"/>
    </row>
    <row r="3" spans="2:10" ht="15" customHeight="1">
      <c r="B3" s="4" t="s">
        <v>161</v>
      </c>
      <c r="C3" s="4"/>
      <c r="D3" s="4"/>
      <c r="E3" s="4"/>
      <c r="G3" s="3" t="s">
        <v>162</v>
      </c>
      <c r="H3" s="3"/>
      <c r="I3" s="3"/>
      <c r="J3" s="3"/>
    </row>
    <row r="4" spans="2:10">
      <c r="B4" s="22" t="s">
        <v>163</v>
      </c>
      <c r="C4" s="22" t="s">
        <v>164</v>
      </c>
      <c r="D4" s="22" t="s">
        <v>165</v>
      </c>
      <c r="E4" s="22" t="s">
        <v>166</v>
      </c>
      <c r="G4" s="22" t="s">
        <v>163</v>
      </c>
      <c r="H4" s="22" t="s">
        <v>164</v>
      </c>
      <c r="I4" s="22" t="s">
        <v>165</v>
      </c>
      <c r="J4" s="22" t="s">
        <v>166</v>
      </c>
    </row>
    <row r="5" spans="2:10">
      <c r="B5" s="36" t="s">
        <v>167</v>
      </c>
      <c r="C5" s="51">
        <v>6.85</v>
      </c>
      <c r="D5" s="52">
        <v>0</v>
      </c>
      <c r="E5" s="53">
        <v>-5</v>
      </c>
      <c r="G5" s="36" t="s">
        <v>167</v>
      </c>
      <c r="H5" s="51">
        <v>22.1</v>
      </c>
      <c r="I5" s="52">
        <v>0</v>
      </c>
      <c r="J5" s="54">
        <v>150</v>
      </c>
    </row>
    <row r="6" spans="2:10">
      <c r="B6" s="23" t="s">
        <v>168</v>
      </c>
      <c r="C6" s="55">
        <v>6.9</v>
      </c>
      <c r="D6" s="56">
        <v>0.05</v>
      </c>
      <c r="E6" s="57">
        <v>-8</v>
      </c>
      <c r="G6" s="23" t="s">
        <v>168</v>
      </c>
      <c r="H6" s="55">
        <v>21.8</v>
      </c>
      <c r="I6" s="56">
        <v>-0.3</v>
      </c>
      <c r="J6" s="58">
        <v>120</v>
      </c>
    </row>
    <row r="7" spans="2:10">
      <c r="B7" s="36" t="s">
        <v>169</v>
      </c>
      <c r="C7" s="51">
        <v>6.95</v>
      </c>
      <c r="D7" s="52">
        <v>0.1</v>
      </c>
      <c r="E7" s="53">
        <v>-10</v>
      </c>
      <c r="G7" s="36" t="s">
        <v>169</v>
      </c>
      <c r="H7" s="51">
        <v>20.5</v>
      </c>
      <c r="I7" s="52">
        <v>-1.6</v>
      </c>
      <c r="J7" s="53">
        <v>-80</v>
      </c>
    </row>
    <row r="8" spans="2:10">
      <c r="B8" s="23" t="s">
        <v>170</v>
      </c>
      <c r="C8" s="55">
        <v>7</v>
      </c>
      <c r="D8" s="56">
        <v>0.15</v>
      </c>
      <c r="E8" s="57">
        <v>-12</v>
      </c>
      <c r="G8" s="23" t="s">
        <v>170</v>
      </c>
      <c r="H8" s="55">
        <v>19.2</v>
      </c>
      <c r="I8" s="56">
        <v>-2.9</v>
      </c>
      <c r="J8" s="57">
        <v>-150</v>
      </c>
    </row>
    <row r="9" spans="2:10">
      <c r="B9" s="36" t="s">
        <v>171</v>
      </c>
      <c r="C9" s="51">
        <v>7.05</v>
      </c>
      <c r="D9" s="52">
        <v>0.2</v>
      </c>
      <c r="E9" s="53">
        <v>-15</v>
      </c>
      <c r="G9" s="36" t="s">
        <v>171</v>
      </c>
      <c r="H9" s="51">
        <v>18.8</v>
      </c>
      <c r="I9" s="52">
        <v>-3.3</v>
      </c>
      <c r="J9" s="53">
        <v>-180</v>
      </c>
    </row>
    <row r="10" spans="2:10">
      <c r="B10" s="23" t="s">
        <v>172</v>
      </c>
      <c r="C10" s="55">
        <v>7.1</v>
      </c>
      <c r="D10" s="56">
        <v>0.25</v>
      </c>
      <c r="E10" s="57">
        <v>-18</v>
      </c>
      <c r="G10" s="23" t="s">
        <v>172</v>
      </c>
      <c r="H10" s="55">
        <v>18</v>
      </c>
      <c r="I10" s="56">
        <v>-4.0999999999999996</v>
      </c>
      <c r="J10" s="57">
        <v>-200</v>
      </c>
    </row>
    <row r="11" spans="2:10">
      <c r="B11" s="36" t="s">
        <v>173</v>
      </c>
      <c r="C11" s="51">
        <v>7.2</v>
      </c>
      <c r="D11" s="52">
        <v>0.35</v>
      </c>
      <c r="E11" s="53">
        <v>-20</v>
      </c>
      <c r="G11" s="36" t="s">
        <v>173</v>
      </c>
      <c r="H11" s="51">
        <v>17.5</v>
      </c>
      <c r="I11" s="52">
        <v>-4.5999999999999996</v>
      </c>
      <c r="J11" s="53">
        <v>-220</v>
      </c>
    </row>
    <row r="12" spans="2:10">
      <c r="B12" s="23" t="s">
        <v>174</v>
      </c>
      <c r="C12" s="55">
        <v>7.25</v>
      </c>
      <c r="D12" s="56">
        <v>0.4</v>
      </c>
      <c r="E12" s="57">
        <v>-22</v>
      </c>
      <c r="G12" s="23" t="s">
        <v>174</v>
      </c>
      <c r="H12" s="55">
        <v>17</v>
      </c>
      <c r="I12" s="56">
        <v>-5.0999999999999996</v>
      </c>
      <c r="J12" s="57">
        <v>-250</v>
      </c>
    </row>
    <row r="13" spans="2:10">
      <c r="B13" s="36" t="s">
        <v>175</v>
      </c>
      <c r="C13" s="51">
        <v>7.35</v>
      </c>
      <c r="D13" s="52">
        <v>0.5</v>
      </c>
      <c r="E13" s="53">
        <v>-24</v>
      </c>
      <c r="G13" s="36" t="s">
        <v>175</v>
      </c>
      <c r="H13" s="51">
        <v>16.8</v>
      </c>
      <c r="I13" s="52">
        <v>-5.3</v>
      </c>
      <c r="J13" s="53">
        <v>-260</v>
      </c>
    </row>
    <row r="14" spans="2:10">
      <c r="B14" s="23" t="s">
        <v>176</v>
      </c>
      <c r="C14" s="55">
        <v>7.4</v>
      </c>
      <c r="D14" s="56">
        <v>0.55000000000000004</v>
      </c>
      <c r="E14" s="57">
        <v>-26</v>
      </c>
      <c r="G14" s="23" t="s">
        <v>176</v>
      </c>
      <c r="H14" s="55">
        <v>16.5</v>
      </c>
      <c r="I14" s="56">
        <v>-5.6</v>
      </c>
      <c r="J14" s="57">
        <v>-270</v>
      </c>
    </row>
    <row r="15" spans="2:10">
      <c r="B15" s="36" t="s">
        <v>177</v>
      </c>
      <c r="C15" s="51">
        <v>7.45</v>
      </c>
      <c r="D15" s="52">
        <v>0.6</v>
      </c>
      <c r="E15" s="53">
        <v>-28</v>
      </c>
      <c r="G15" s="36" t="s">
        <v>177</v>
      </c>
      <c r="H15" s="51">
        <v>16.2</v>
      </c>
      <c r="I15" s="52">
        <v>-5.9</v>
      </c>
      <c r="J15" s="53">
        <v>-280</v>
      </c>
    </row>
    <row r="17" spans="2:10" ht="15" customHeight="1">
      <c r="B17" s="2" t="s">
        <v>178</v>
      </c>
      <c r="C17" s="2"/>
      <c r="D17" s="2"/>
      <c r="E17" s="2"/>
    </row>
    <row r="18" spans="2:10">
      <c r="B18" s="22" t="s">
        <v>163</v>
      </c>
      <c r="C18" s="22" t="s">
        <v>164</v>
      </c>
      <c r="D18" s="22" t="s">
        <v>165</v>
      </c>
      <c r="E18" s="22" t="s">
        <v>166</v>
      </c>
    </row>
    <row r="19" spans="2:10">
      <c r="B19" s="36" t="s">
        <v>167</v>
      </c>
      <c r="C19" s="59">
        <v>-0.02</v>
      </c>
      <c r="D19" s="52">
        <v>0</v>
      </c>
      <c r="E19" s="54">
        <v>5</v>
      </c>
    </row>
    <row r="20" spans="2:10">
      <c r="B20" s="23" t="s">
        <v>168</v>
      </c>
      <c r="C20" s="60">
        <v>0.05</v>
      </c>
      <c r="D20" s="56">
        <v>7.0000000000000007E-2</v>
      </c>
      <c r="E20" s="58">
        <v>8</v>
      </c>
    </row>
    <row r="21" spans="2:10">
      <c r="B21" s="36" t="s">
        <v>169</v>
      </c>
      <c r="C21" s="59">
        <v>0.15</v>
      </c>
      <c r="D21" s="52">
        <v>0.17</v>
      </c>
      <c r="E21" s="54">
        <v>12</v>
      </c>
    </row>
    <row r="22" spans="2:10">
      <c r="B22" s="23" t="s">
        <v>170</v>
      </c>
      <c r="C22" s="60">
        <v>0.35</v>
      </c>
      <c r="D22" s="56">
        <v>0.37</v>
      </c>
      <c r="E22" s="58">
        <v>20</v>
      </c>
    </row>
    <row r="23" spans="2:10">
      <c r="B23" s="36" t="s">
        <v>171</v>
      </c>
      <c r="C23" s="59">
        <v>0.55000000000000004</v>
      </c>
      <c r="D23" s="52">
        <v>0.56999999999999995</v>
      </c>
      <c r="E23" s="54">
        <v>28</v>
      </c>
    </row>
    <row r="24" spans="2:10">
      <c r="B24" s="23" t="s">
        <v>172</v>
      </c>
      <c r="C24" s="60">
        <v>0.85</v>
      </c>
      <c r="D24" s="56">
        <v>0.87</v>
      </c>
      <c r="E24" s="58">
        <v>35</v>
      </c>
    </row>
    <row r="25" spans="2:10">
      <c r="B25" s="36" t="s">
        <v>173</v>
      </c>
      <c r="C25" s="59">
        <v>1.05</v>
      </c>
      <c r="D25" s="52">
        <v>1.07</v>
      </c>
      <c r="E25" s="54">
        <v>40</v>
      </c>
    </row>
    <row r="26" spans="2:10">
      <c r="B26" s="23" t="s">
        <v>174</v>
      </c>
      <c r="C26" s="60">
        <v>1.45</v>
      </c>
      <c r="D26" s="56">
        <v>1.47</v>
      </c>
      <c r="E26" s="58">
        <v>48</v>
      </c>
    </row>
    <row r="27" spans="2:10">
      <c r="B27" s="36" t="s">
        <v>175</v>
      </c>
      <c r="C27" s="59">
        <v>1.85</v>
      </c>
      <c r="D27" s="52">
        <v>1.87</v>
      </c>
      <c r="E27" s="54">
        <v>52</v>
      </c>
    </row>
    <row r="28" spans="2:10">
      <c r="B28" s="23" t="s">
        <v>176</v>
      </c>
      <c r="C28" s="60">
        <v>2.1</v>
      </c>
      <c r="D28" s="56">
        <v>2.12</v>
      </c>
      <c r="E28" s="58">
        <v>55</v>
      </c>
    </row>
    <row r="29" spans="2:10">
      <c r="B29" s="36" t="s">
        <v>177</v>
      </c>
      <c r="C29" s="59">
        <v>2.2999999999999998</v>
      </c>
      <c r="D29" s="52">
        <v>2.3199999999999998</v>
      </c>
      <c r="E29" s="54">
        <v>60</v>
      </c>
    </row>
    <row r="31" spans="2:10" ht="16.149999999999999" customHeight="1">
      <c r="B31" s="12" t="s">
        <v>179</v>
      </c>
      <c r="C31" s="12"/>
      <c r="D31" s="12"/>
      <c r="E31" s="12"/>
      <c r="F31" s="12"/>
      <c r="G31" s="12"/>
      <c r="H31" s="12"/>
      <c r="I31" s="12"/>
      <c r="J31" s="12"/>
    </row>
    <row r="32" spans="2:10" ht="45" customHeight="1">
      <c r="B32" s="49" t="s">
        <v>180</v>
      </c>
      <c r="C32" s="1" t="s">
        <v>181</v>
      </c>
      <c r="D32" s="1"/>
      <c r="E32" s="1"/>
      <c r="F32" s="1"/>
      <c r="G32" s="1"/>
      <c r="H32" s="1"/>
      <c r="I32" s="1"/>
      <c r="J32" s="1"/>
    </row>
    <row r="33" spans="2:10" ht="45" customHeight="1">
      <c r="B33" s="49" t="s">
        <v>182</v>
      </c>
      <c r="C33" s="1" t="s">
        <v>183</v>
      </c>
      <c r="D33" s="1"/>
      <c r="E33" s="1"/>
      <c r="F33" s="1"/>
      <c r="G33" s="1"/>
      <c r="H33" s="1"/>
      <c r="I33" s="1"/>
      <c r="J33" s="1"/>
    </row>
    <row r="34" spans="2:10" ht="45" customHeight="1">
      <c r="B34" s="49" t="s">
        <v>184</v>
      </c>
      <c r="C34" s="1" t="s">
        <v>185</v>
      </c>
      <c r="D34" s="1"/>
      <c r="E34" s="1"/>
      <c r="F34" s="1"/>
      <c r="G34" s="1"/>
      <c r="H34" s="1"/>
      <c r="I34" s="1"/>
      <c r="J34" s="1"/>
    </row>
    <row r="35" spans="2:10" ht="45" customHeight="1">
      <c r="B35" s="49" t="s">
        <v>186</v>
      </c>
      <c r="C35" s="1" t="s">
        <v>187</v>
      </c>
      <c r="D35" s="1"/>
      <c r="E35" s="1"/>
      <c r="F35" s="1"/>
      <c r="G35" s="1"/>
      <c r="H35" s="1"/>
      <c r="I35" s="1"/>
      <c r="J35" s="1"/>
    </row>
  </sheetData>
  <mergeCells count="10">
    <mergeCell ref="B31:J31"/>
    <mergeCell ref="C32:J32"/>
    <mergeCell ref="C33:J33"/>
    <mergeCell ref="C34:J34"/>
    <mergeCell ref="C35:J35"/>
    <mergeCell ref="B1:J1"/>
    <mergeCell ref="B2:J2"/>
    <mergeCell ref="B3:E3"/>
    <mergeCell ref="G3:J3"/>
    <mergeCell ref="B17:E17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84C"/>
    <pageSetUpPr fitToPage="1"/>
  </sheetPr>
  <dimension ref="B1:T38"/>
  <sheetViews>
    <sheetView zoomScaleNormal="100" workbookViewId="0">
      <selection activeCell="W21" sqref="W21"/>
    </sheetView>
  </sheetViews>
  <sheetFormatPr defaultColWidth="8.7109375" defaultRowHeight="15"/>
  <sheetData>
    <row r="1" spans="2:20" ht="16.149999999999999" customHeight="1">
      <c r="B1" s="12" t="s">
        <v>188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3" spans="2:20">
      <c r="Q3" t="s">
        <v>189</v>
      </c>
      <c r="R3" t="s">
        <v>96</v>
      </c>
      <c r="S3" t="s">
        <v>98</v>
      </c>
      <c r="T3" t="s">
        <v>190</v>
      </c>
    </row>
    <row r="4" spans="2:20">
      <c r="Q4" t="s">
        <v>116</v>
      </c>
      <c r="R4">
        <v>0.47</v>
      </c>
      <c r="S4">
        <v>0.26500000000000001</v>
      </c>
      <c r="T4">
        <v>0.16300000000000001</v>
      </c>
    </row>
    <row r="5" spans="2:20">
      <c r="Q5" t="s">
        <v>117</v>
      </c>
      <c r="R5">
        <v>0.433</v>
      </c>
      <c r="S5">
        <v>0.126</v>
      </c>
      <c r="T5">
        <v>7.2999999999999995E-2</v>
      </c>
    </row>
    <row r="6" spans="2:20">
      <c r="Q6" t="s">
        <v>118</v>
      </c>
      <c r="R6">
        <v>0.30099999999999999</v>
      </c>
      <c r="S6">
        <v>0.184</v>
      </c>
      <c r="T6">
        <v>9.8000000000000004E-2</v>
      </c>
    </row>
    <row r="10" spans="2:20">
      <c r="Q10" t="s">
        <v>191</v>
      </c>
      <c r="R10" t="s">
        <v>116</v>
      </c>
      <c r="S10" t="s">
        <v>117</v>
      </c>
      <c r="T10" t="s">
        <v>118</v>
      </c>
    </row>
    <row r="11" spans="2:20">
      <c r="Q11" t="s">
        <v>41</v>
      </c>
      <c r="R11">
        <v>1240</v>
      </c>
      <c r="S11">
        <v>8050</v>
      </c>
      <c r="T11">
        <v>28000</v>
      </c>
    </row>
    <row r="12" spans="2:20">
      <c r="Q12" t="s">
        <v>42</v>
      </c>
      <c r="R12">
        <v>1520</v>
      </c>
      <c r="S12">
        <v>10900</v>
      </c>
      <c r="T12">
        <v>32200</v>
      </c>
    </row>
    <row r="13" spans="2:20">
      <c r="Q13" t="s">
        <v>43</v>
      </c>
      <c r="R13">
        <v>1810</v>
      </c>
      <c r="S13">
        <v>13800</v>
      </c>
      <c r="T13">
        <v>40200</v>
      </c>
    </row>
    <row r="20" spans="17:20">
      <c r="Q20" t="s">
        <v>163</v>
      </c>
      <c r="R20" t="s">
        <v>192</v>
      </c>
      <c r="S20" t="s">
        <v>193</v>
      </c>
      <c r="T20" t="s">
        <v>194</v>
      </c>
    </row>
    <row r="21" spans="17:20">
      <c r="Q21" t="s">
        <v>167</v>
      </c>
      <c r="R21">
        <v>6.85</v>
      </c>
      <c r="S21">
        <v>22.1</v>
      </c>
      <c r="T21">
        <v>-0.02</v>
      </c>
    </row>
    <row r="22" spans="17:20">
      <c r="Q22" t="s">
        <v>168</v>
      </c>
      <c r="R22">
        <v>6.9</v>
      </c>
      <c r="S22">
        <v>21.8</v>
      </c>
      <c r="T22">
        <v>0.05</v>
      </c>
    </row>
    <row r="23" spans="17:20">
      <c r="Q23" t="s">
        <v>169</v>
      </c>
      <c r="R23">
        <v>6.95</v>
      </c>
      <c r="S23">
        <v>20.5</v>
      </c>
      <c r="T23">
        <v>0.15</v>
      </c>
    </row>
    <row r="24" spans="17:20">
      <c r="Q24" t="s">
        <v>170</v>
      </c>
      <c r="R24">
        <v>7</v>
      </c>
      <c r="S24">
        <v>19.2</v>
      </c>
      <c r="T24">
        <v>0.35</v>
      </c>
    </row>
    <row r="25" spans="17:20">
      <c r="Q25" t="s">
        <v>171</v>
      </c>
      <c r="R25">
        <v>7.05</v>
      </c>
      <c r="S25">
        <v>18.8</v>
      </c>
      <c r="T25">
        <v>0.55000000000000004</v>
      </c>
    </row>
    <row r="26" spans="17:20">
      <c r="Q26" t="s">
        <v>172</v>
      </c>
      <c r="R26">
        <v>7.1</v>
      </c>
      <c r="S26">
        <v>18</v>
      </c>
      <c r="T26">
        <v>0.85</v>
      </c>
    </row>
    <row r="27" spans="17:20">
      <c r="Q27" t="s">
        <v>173</v>
      </c>
      <c r="R27">
        <v>7.2</v>
      </c>
      <c r="S27">
        <v>17.5</v>
      </c>
      <c r="T27">
        <v>1.05</v>
      </c>
    </row>
    <row r="28" spans="17:20">
      <c r="Q28" t="s">
        <v>174</v>
      </c>
      <c r="R28">
        <v>7.25</v>
      </c>
      <c r="S28">
        <v>17</v>
      </c>
      <c r="T28">
        <v>1.45</v>
      </c>
    </row>
    <row r="29" spans="17:20">
      <c r="Q29" t="s">
        <v>175</v>
      </c>
      <c r="R29">
        <v>7.35</v>
      </c>
      <c r="S29">
        <v>16.8</v>
      </c>
      <c r="T29">
        <v>1.85</v>
      </c>
    </row>
    <row r="30" spans="17:20">
      <c r="Q30" t="s">
        <v>176</v>
      </c>
      <c r="R30">
        <v>7.4</v>
      </c>
      <c r="S30">
        <v>16.5</v>
      </c>
      <c r="T30">
        <v>2.1</v>
      </c>
    </row>
    <row r="31" spans="17:20">
      <c r="Q31" t="s">
        <v>177</v>
      </c>
      <c r="R31">
        <v>7.45</v>
      </c>
      <c r="S31">
        <v>16.2</v>
      </c>
      <c r="T31">
        <v>2.2999999999999998</v>
      </c>
    </row>
    <row r="35" spans="17:19">
      <c r="Q35" t="s">
        <v>189</v>
      </c>
      <c r="R35" t="s">
        <v>130</v>
      </c>
      <c r="S35" t="s">
        <v>132</v>
      </c>
    </row>
    <row r="36" spans="17:19">
      <c r="Q36" t="s">
        <v>116</v>
      </c>
      <c r="R36">
        <v>0.25900000000000001</v>
      </c>
      <c r="S36">
        <v>0.154</v>
      </c>
    </row>
    <row r="37" spans="17:19">
      <c r="Q37" t="s">
        <v>117</v>
      </c>
      <c r="R37">
        <v>0.16</v>
      </c>
      <c r="S37">
        <v>7.9000000000000001E-2</v>
      </c>
    </row>
    <row r="38" spans="17:19">
      <c r="Q38" t="s">
        <v>118</v>
      </c>
      <c r="R38">
        <v>0.192</v>
      </c>
      <c r="S38">
        <v>9.6000000000000002E-2</v>
      </c>
    </row>
  </sheetData>
  <mergeCells count="1">
    <mergeCell ref="B1:O1"/>
  </mergeCells>
  <pageMargins left="0.75" right="0.75" top="1" bottom="1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2026-05-28T16:38:29Z</dcterms:created>
  <dcterms:modified xsi:type="dcterms:W3CDTF">2026-05-28T17:25:14Z</dcterms:modified>
  <cp:category/>
  <cp:contentStatus/>
</cp:coreProperties>
</file>